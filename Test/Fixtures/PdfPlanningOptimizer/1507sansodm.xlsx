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ctrlProps/ctrlProps2.xml" ContentType="application/vnd.ms-excel.controlproperties+xml"/>
  <Override PartName="/xl/ctrlProps/ctrlProps3.xml" ContentType="application/vnd.ms-excel.controlproperties+xml"/>
  <Override PartName="/xl/ctrlProps/ctrlProps4.xml" ContentType="application/vnd.ms-excel.controlproperties+xml"/>
  <Override PartName="/xl/ctrlProps/ctrlProps5.xml" ContentType="application/vnd.ms-excel.controlproperties+xml"/>
  <Override PartName="/xl/ctrlProps/ctrlProps6.xml" ContentType="application/vnd.ms-excel.controlproperties+xml"/>
  <Override PartName="/xl/ctrlProps/ctrlProps7.xml" ContentType="application/vnd.ms-excel.controlproperties+xml"/>
  <Override PartName="/xl/ctrlProps/ctrlProps8.xml" ContentType="application/vnd.ms-excel.controlproperties+xml"/>
  <Override PartName="/xl/ctrlProps/ctrlProps9.xml" ContentType="application/vnd.ms-excel.controlproperties+xml"/>
  <Override PartName="/xl/ctrlProps/ctrlProps10.xml" ContentType="application/vnd.ms-excel.controlproperties+xml"/>
  <Override PartName="/xl/ctrlProps/ctrlProps11.xml" ContentType="application/vnd.ms-excel.controlproperties+xml"/>
  <Override PartName="/xl/ctrlProps/ctrlProps12.xml" ContentType="application/vnd.ms-excel.controlproperties+xml"/>
  <Override PartName="/xl/ctrlProps/ctrlProps13.xml" ContentType="application/vnd.ms-excel.controlproperties+xml"/>
  <Override PartName="/xl/ctrlProps/ctrlProps14.xml" ContentType="application/vnd.ms-excel.controlproperties+xml"/>
  <Override PartName="/xl/ctrlProps/ctrlProps15.xml" ContentType="application/vnd.ms-excel.controlproperties+xml"/>
  <Override PartName="/xl/ctrlProps/ctrlProps16.xml" ContentType="application/vnd.ms-excel.controlproperties+xml"/>
  <Override PartName="/xl/ctrlProps/ctrlProps17.xml" ContentType="application/vnd.ms-excel.controlproperties+xml"/>
  <Override PartName="/xl/ctrlProps/ctrlProps18.xml" ContentType="application/vnd.ms-excel.controlpropertie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29" sheetId="1" state="visible" r:id="rId3"/>
  </sheets>
  <definedNames>
    <definedName function="false" hidden="false" localSheetId="0" name="co_3_lundi_B1" vbProcedure="false">S29!$A$66</definedName>
    <definedName function="false" hidden="false" localSheetId="0" name="co_5_lundi_B1" vbProcedure="false">S29!$A$124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<sst xmlns="http://schemas.openxmlformats.org/spreadsheetml/2006/main" count="1747" uniqueCount="538">
  <si>
    <t xml:space="preserve">SEMAINE 01,05,09,13,17,21,25,29,33,37,41,45,49</t>
  </si>
  <si>
    <t xml:space="preserve">Tarik + Benoit CP
Mohamed Absent</t>
  </si>
  <si>
    <t xml:space="preserve">FERIE</t>
  </si>
  <si>
    <t xml:space="preserve">Tarik + Benoit CP</t>
  </si>
  <si>
    <t xml:space="preserve">Bio-déchets</t>
  </si>
  <si>
    <t xml:space="preserve">Sens de la tournée</t>
  </si>
  <si>
    <t xml:space="preserve"> lundi 13/07</t>
  </si>
  <si>
    <t xml:space="preserve">RUN</t>
  </si>
  <si>
    <t xml:space="preserve">Place au sol
Réél</t>
  </si>
  <si>
    <t xml:space="preserve">Place au sol
Théorique</t>
  </si>
  <si>
    <t xml:space="preserve">Collecte 
réalisée ?
O ou N</t>
  </si>
  <si>
    <t xml:space="preserve">fréq</t>
  </si>
  <si>
    <t xml:space="preserve">date de passage</t>
  </si>
  <si>
    <t xml:space="preserve">Procédure</t>
  </si>
  <si>
    <t xml:space="preserve">Destruction</t>
  </si>
  <si>
    <t xml:space="preserve">Déchets</t>
  </si>
  <si>
    <t xml:space="preserve">240 S</t>
  </si>
  <si>
    <t xml:space="preserve">360 MD</t>
  </si>
  <si>
    <t xml:space="preserve">360 S</t>
  </si>
  <si>
    <t xml:space="preserve">770 S</t>
  </si>
  <si>
    <t xml:space="preserve">770 MD</t>
  </si>
  <si>
    <t xml:space="preserve">Qté</t>
  </si>
  <si>
    <t xml:space="preserve">Zone</t>
  </si>
  <si>
    <t xml:space="preserve">  mardi 14/07</t>
  </si>
  <si>
    <r>
      <rPr>
        <sz val="14"/>
        <color rgb="FF000000"/>
        <rFont val="Arial"/>
        <family val="2"/>
        <charset val="1"/>
      </rPr>
      <t xml:space="preserve">Heure
 d'ouverture
</t>
    </r>
    <r>
      <rPr>
        <b val="true"/>
        <sz val="18"/>
        <color rgb="FF000000"/>
        <rFont val="Arial"/>
        <family val="2"/>
        <charset val="1"/>
      </rPr>
      <t xml:space="preserve"> / 
</t>
    </r>
    <r>
      <rPr>
        <sz val="14"/>
        <color rgb="FF000000"/>
        <rFont val="Arial"/>
        <family val="2"/>
        <charset val="1"/>
      </rPr>
      <t xml:space="preserve">Nombre de collectes</t>
    </r>
  </si>
  <si>
    <t xml:space="preserve"> mercredi 15/07</t>
  </si>
  <si>
    <t xml:space="preserve"> jeudi 16/07</t>
  </si>
  <si>
    <t xml:space="preserve">vendredi 17/07</t>
  </si>
  <si>
    <t xml:space="preserve">André</t>
  </si>
  <si>
    <t xml:space="preserve">GAP</t>
  </si>
  <si>
    <t xml:space="preserve">A</t>
  </si>
  <si>
    <t xml:space="preserve">co 1</t>
  </si>
  <si>
    <t xml:space="preserve">St Egrève / Pays Voironnais / Grenoble</t>
  </si>
  <si>
    <t xml:space="preserve">Raphaël</t>
  </si>
  <si>
    <t xml:space="preserve">Artem</t>
  </si>
  <si>
    <t xml:space="preserve">Camion 44</t>
  </si>
  <si>
    <t xml:space="preserve">B</t>
  </si>
  <si>
    <t xml:space="preserve">Camion 1</t>
  </si>
  <si>
    <t xml:space="preserve">Camion 11</t>
  </si>
  <si>
    <t xml:space="preserve">Camion 13</t>
  </si>
  <si>
    <t xml:space="preserve">Gap</t>
  </si>
  <si>
    <r>
      <rPr>
        <b val="true"/>
        <sz val="14"/>
        <color rgb="FF000000"/>
        <rFont val="Arial"/>
        <family val="2"/>
        <charset val="1"/>
      </rPr>
      <t xml:space="preserve">(24639) ENTREPOT du BRICOLAGE Gap
</t>
    </r>
    <r>
      <rPr>
        <sz val="14"/>
        <color rgb="FF000000"/>
        <rFont val="Arial"/>
        <family val="2"/>
        <charset val="1"/>
      </rPr>
      <t xml:space="preserve">26 Bd d'Orient
05000 Gap
lundi-vendredi    07:30–19:00
</t>
    </r>
    <r>
      <rPr>
        <b val="true"/>
        <sz val="14"/>
        <color rgb="FF000000"/>
        <rFont val="Arial"/>
        <family val="2"/>
        <charset val="1"/>
      </rPr>
      <t xml:space="preserve">1x240 Papiers + 1x770 Cartons + 1x770 MD</t>
    </r>
  </si>
  <si>
    <t xml:space="preserve">4S</t>
  </si>
  <si>
    <t xml:space="preserve">Papiers
Cartons
Bouteille PET
Canttes
Gobelets cartons
Capsules cafés</t>
  </si>
  <si>
    <t xml:space="preserve">CEA</t>
  </si>
  <si>
    <r>
      <rPr>
        <b val="true"/>
        <sz val="16"/>
        <color rgb="FF000000"/>
        <rFont val="Arial"/>
        <family val="2"/>
        <charset val="1"/>
      </rPr>
      <t xml:space="preserve">(60531) CEA
</t>
    </r>
    <r>
      <rPr>
        <sz val="16"/>
        <color rgb="FF000000"/>
        <rFont val="Arial"/>
        <family val="2"/>
        <charset val="1"/>
      </rPr>
      <t xml:space="preserve">17 Rue des Martyrs
38000 Grenoble
</t>
    </r>
    <r>
      <rPr>
        <b val="true"/>
        <sz val="16"/>
        <color rgb="FFFF0000"/>
        <rFont val="Arial"/>
        <family val="2"/>
        <charset val="1"/>
      </rPr>
      <t xml:space="preserve">Utiliser la check-list 
50 bioseaux --&gt; Penser à prendre les sacs compostables pour les changements de sacs</t>
    </r>
  </si>
  <si>
    <t xml:space="preserve">2x/s</t>
  </si>
  <si>
    <t xml:space="preserve">Lundi
Jeudi</t>
  </si>
  <si>
    <t xml:space="preserve">Disponible</t>
  </si>
  <si>
    <t xml:space="preserve">Chambéry Centre</t>
  </si>
  <si>
    <r>
      <rPr>
        <b val="true"/>
        <sz val="14"/>
        <color rgb="FF000000"/>
        <rFont val="Arial"/>
        <family val="2"/>
        <charset val="1"/>
      </rPr>
      <t xml:space="preserve">(78724) Banque de Savoie </t>
    </r>
    <r>
      <rPr>
        <b val="true"/>
        <sz val="14"/>
        <color rgb="FFFF0000"/>
        <rFont val="Arial"/>
        <family val="2"/>
        <charset val="1"/>
      </rPr>
      <t xml:space="preserve">Siège de Chambéry (Site repli pour Travaux)
</t>
    </r>
    <r>
      <rPr>
        <sz val="14"/>
        <color rgb="FF000000"/>
        <rFont val="Arial"/>
        <family val="2"/>
        <charset val="1"/>
      </rPr>
      <t xml:space="preserve">5 Rue Francois Charvet
73000 CHAMBERY
Mardi au Vendredi  : 8h35-12h30 / 13h30-17h40
</t>
    </r>
    <r>
      <rPr>
        <b val="true"/>
        <sz val="14"/>
        <color rgb="FFFF0000"/>
        <rFont val="Arial"/>
        <family val="2"/>
        <charset val="1"/>
      </rPr>
      <t xml:space="preserve">BADGE
</t>
    </r>
    <r>
      <rPr>
        <b val="true"/>
        <sz val="14"/>
        <color theme="1"/>
        <rFont val="Arial"/>
        <family val="2"/>
        <charset val="1"/>
      </rPr>
      <t xml:space="preserve">2x360 Papiers , 1x360 Carton, 2x360 MD</t>
    </r>
  </si>
  <si>
    <t xml:space="preserve">2S</t>
  </si>
  <si>
    <t xml:space="preserve">CHANGER LES 5 BACS CAR ILS SONT SALES</t>
  </si>
  <si>
    <t xml:space="preserve">Papier
Canette
Bouteille pet
Verre
Cartons</t>
  </si>
  <si>
    <r>
      <rPr>
        <b val="true"/>
        <sz val="14"/>
        <color rgb="FF000000"/>
        <rFont val="Arial"/>
        <family val="2"/>
        <charset val="1"/>
      </rPr>
      <t xml:space="preserve">(79918) SAMSE GAP GROS ŒUVRE A/B
</t>
    </r>
    <r>
      <rPr>
        <sz val="14"/>
        <color rgb="FF000000"/>
        <rFont val="Arial"/>
        <family val="2"/>
        <charset val="1"/>
      </rPr>
      <t xml:space="preserve">13 Route des Fauvins
05000 GAP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8h-12h / 14h-17h
</t>
    </r>
    <r>
      <rPr>
        <b val="true"/>
        <sz val="14"/>
        <color rgb="FF000000"/>
        <rFont val="Arial"/>
        <family val="2"/>
        <charset val="1"/>
      </rPr>
      <t xml:space="preserve">
1x360 Gobeles Cartons
</t>
    </r>
    <r>
      <rPr>
        <sz val="14"/>
        <color rgb="FF000000"/>
        <rFont val="Arial"/>
        <family val="2"/>
        <charset val="1"/>
      </rPr>
      <t xml:space="preserve">1 battrimeuble (ALD)</t>
    </r>
  </si>
  <si>
    <t xml:space="preserve">Gobelets Cartons
Piles (ALD)</t>
  </si>
  <si>
    <r>
      <rPr>
        <b val="true"/>
        <sz val="14"/>
        <color rgb="FF000000"/>
        <rFont val="Arial"/>
        <family val="2"/>
        <charset val="1"/>
      </rPr>
      <t xml:space="preserve">(86582) CEA SELF H5
</t>
    </r>
    <r>
      <rPr>
        <b val="true"/>
        <sz val="14"/>
        <color rgb="FFFF0000"/>
        <rFont val="Arial"/>
        <family val="2"/>
        <charset val="1"/>
      </rPr>
      <t xml:space="preserve">Derrière bâtiment 40.23
</t>
    </r>
    <r>
      <rPr>
        <sz val="14"/>
        <color rgb="FF000000"/>
        <rFont val="Arial"/>
        <family val="2"/>
        <charset val="1"/>
      </rPr>
      <t xml:space="preserve">17 Avenue des Martyrs
38000 GRENOBLE
</t>
    </r>
    <r>
      <rPr>
        <b val="true"/>
        <sz val="14"/>
        <color rgb="FF000000"/>
        <rFont val="Arial"/>
        <family val="2"/>
        <charset val="1"/>
      </rPr>
      <t xml:space="preserve">
2x120 Biodéchets + 1x770 DIB + 1x770 Cartons</t>
    </r>
  </si>
  <si>
    <t xml:space="preserve">2x Semaine</t>
  </si>
  <si>
    <t xml:space="preserve">Biodéchets
Cartons
DIB</t>
  </si>
  <si>
    <t xml:space="preserve">Périphérie 
Chambéry</t>
  </si>
  <si>
    <r>
      <rPr>
        <b val="true"/>
        <sz val="14"/>
        <color rgb="FF000000"/>
        <rFont val="Arial"/>
        <family val="2"/>
        <charset val="1"/>
      </rPr>
      <t xml:space="preserve">(24498) CADS Cognin </t>
    </r>
    <r>
      <rPr>
        <b val="true"/>
        <sz val="20"/>
        <color rgb="FF1616FA"/>
        <rFont val="Arial"/>
        <family val="2"/>
        <charset val="1"/>
      </rPr>
      <t xml:space="preserve">A/B
</t>
    </r>
    <r>
      <rPr>
        <sz val="14"/>
        <color rgb="FF000000"/>
        <rFont val="Arial"/>
        <family val="2"/>
        <charset val="1"/>
      </rPr>
      <t xml:space="preserve">Centre Commercial de l'Épine
73160 Cognin
mardi au vendredi 9h00 - 12h00   14h00 - 17h00</t>
    </r>
  </si>
  <si>
    <t xml:space="preserve">Initialement prévu 14/07</t>
  </si>
  <si>
    <r>
      <rPr>
        <b val="true"/>
        <sz val="14"/>
        <color rgb="FF000000"/>
        <rFont val="Arial"/>
        <family val="2"/>
        <charset val="1"/>
      </rPr>
      <t xml:space="preserve">(76422) SAMSE GAP SECOND ŒUVRE B/B
</t>
    </r>
    <r>
      <rPr>
        <sz val="14"/>
        <color rgb="FF000000"/>
        <rFont val="Arial"/>
        <family val="2"/>
        <charset val="1"/>
      </rPr>
      <t xml:space="preserve">22 Route des Fauvins
05000 GAP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8h-12h / 14h-17h
</t>
    </r>
    <r>
      <rPr>
        <b val="true"/>
        <sz val="14"/>
        <color rgb="FF000000"/>
        <rFont val="Arial"/>
        <family val="2"/>
        <charset val="1"/>
      </rPr>
      <t xml:space="preserve">
1x360 Gobeles Cartons
</t>
    </r>
    <r>
      <rPr>
        <sz val="14"/>
        <color rgb="FF000000"/>
        <rFont val="Arial"/>
        <family val="2"/>
        <charset val="1"/>
      </rPr>
      <t xml:space="preserve">1 battrimeuble (ALD)</t>
    </r>
  </si>
  <si>
    <r>
      <rPr>
        <b val="true"/>
        <sz val="14"/>
        <color rgb="FF000000"/>
        <rFont val="Arial"/>
        <family val="2"/>
        <charset val="1"/>
      </rPr>
      <t xml:space="preserve">(78410) CEA Restaurant H3 
</t>
    </r>
    <r>
      <rPr>
        <sz val="14"/>
        <color rgb="FF000000"/>
        <rFont val="Arial"/>
        <family val="2"/>
        <charset val="1"/>
      </rPr>
      <t xml:space="preserve">17 Avenue des Martyrs
38000 GRENOBLE
</t>
    </r>
    <r>
      <rPr>
        <b val="true"/>
        <sz val="14"/>
        <color rgb="FF000000"/>
        <rFont val="Arial"/>
        <family val="2"/>
        <charset val="1"/>
      </rPr>
      <t xml:space="preserve">
5x120 Biodéchets</t>
    </r>
  </si>
  <si>
    <r>
      <rPr>
        <b val="true"/>
        <sz val="14"/>
        <color rgb="FF000000"/>
        <rFont val="Arial"/>
        <family val="2"/>
        <charset val="1"/>
      </rPr>
      <t xml:space="preserve">(8309) CERA Cognin</t>
    </r>
    <r>
      <rPr>
        <b val="true"/>
        <sz val="20"/>
        <color rgb="FF1616FA"/>
        <rFont val="Arial"/>
        <family val="2"/>
        <charset val="1"/>
      </rPr>
      <t xml:space="preserve"> B/B
</t>
    </r>
    <r>
      <rPr>
        <sz val="14"/>
        <color rgb="FF000000"/>
        <rFont val="Arial"/>
        <family val="2"/>
        <charset val="1"/>
      </rPr>
      <t xml:space="preserve">Centre Commercial l'Epine
73160 Cognin
mardi au vendredi 9h15 - 12h30   13h30 - 18h00</t>
    </r>
  </si>
  <si>
    <t xml:space="preserve">8S</t>
  </si>
  <si>
    <t xml:space="preserve">A faire</t>
  </si>
  <si>
    <r>
      <rPr>
        <b val="true"/>
        <sz val="14"/>
        <color rgb="FF000000"/>
        <rFont val="Arial"/>
        <family val="2"/>
        <charset val="1"/>
      </rPr>
      <t xml:space="preserve">(24922) GEODIS D&amp;E HAUTE ALPES (Ex : TRANSPORT DEVOLUY)
</t>
    </r>
    <r>
      <rPr>
        <sz val="14"/>
        <color rgb="FF000000"/>
        <rFont val="Arial"/>
        <family val="2"/>
        <charset val="1"/>
      </rPr>
      <t xml:space="preserve">4 rue des Silos
05000 Gap
</t>
    </r>
    <r>
      <rPr>
        <b val="true"/>
        <sz val="14"/>
        <color rgb="FF000000"/>
        <rFont val="Arial"/>
        <family val="2"/>
        <charset val="1"/>
      </rPr>
      <t xml:space="preserve">240P,770MD</t>
    </r>
  </si>
  <si>
    <t xml:space="preserve">Papiers
Cartons
Gobelets
Canettes
Bouteilles Plast</t>
  </si>
  <si>
    <r>
      <rPr>
        <b val="true"/>
        <sz val="14"/>
        <color rgb="FF000000"/>
        <rFont val="Arial"/>
        <family val="2"/>
        <charset val="1"/>
      </rPr>
      <t xml:space="preserve">(78410) CEA Restaurant H3 
</t>
    </r>
    <r>
      <rPr>
        <sz val="14"/>
        <color rgb="FF000000"/>
        <rFont val="Arial"/>
        <family val="2"/>
        <charset val="1"/>
      </rPr>
      <t xml:space="preserve">17 Avenue des Martyrs
38000 GRENOBLE
</t>
    </r>
    <r>
      <rPr>
        <b val="true"/>
        <sz val="14"/>
        <color rgb="FF000000"/>
        <rFont val="Arial"/>
        <family val="2"/>
        <charset val="1"/>
      </rPr>
      <t xml:space="preserve">
1x360 Verre + 4x770 DIB + 4x770 Cartons</t>
    </r>
  </si>
  <si>
    <t xml:space="preserve">H</t>
  </si>
  <si>
    <t xml:space="preserve">Verre
DIB
Cartons</t>
  </si>
  <si>
    <r>
      <rPr>
        <b val="true"/>
        <sz val="14"/>
        <color rgb="FF000000"/>
        <rFont val="Arial"/>
        <family val="2"/>
        <charset val="1"/>
      </rPr>
      <t xml:space="preserve">(68027) Banque Populaire AURA COGNIN
</t>
    </r>
    <r>
      <rPr>
        <sz val="14"/>
        <color rgb="FF000000"/>
        <rFont val="Arial"/>
        <family val="2"/>
        <charset val="1"/>
      </rPr>
      <t xml:space="preserve">18, route de lyon
73160 COGNIN
Mardi Mercredi Vendredi 
8h30 - 12h30 et 13h45 à 17h45
le Jeudi
8h30 - 12h00 et 13h45 à 17h45</t>
    </r>
  </si>
  <si>
    <r>
      <rPr>
        <b val="true"/>
        <sz val="14"/>
        <color rgb="FF000000"/>
        <rFont val="Arial"/>
        <family val="2"/>
        <charset val="1"/>
      </rPr>
      <t xml:space="preserve">(68393) CHRONOPOST AG GAP
</t>
    </r>
    <r>
      <rPr>
        <sz val="14"/>
        <color rgb="FF000000"/>
        <rFont val="Arial"/>
        <family val="2"/>
        <charset val="1"/>
      </rPr>
      <t xml:space="preserve">Chemin de Pont-Sarrazin-Bas
05000 LA ROCHETTE
Lundi au vendredi : 9h-12h30 / 13h30-18h30
</t>
    </r>
    <r>
      <rPr>
        <b val="true"/>
        <sz val="14"/>
        <color rgb="FF000000"/>
        <rFont val="Arial"/>
        <family val="2"/>
        <charset val="1"/>
      </rPr>
      <t xml:space="preserve">
1x360 Papiers + 1x770 MD</t>
    </r>
  </si>
  <si>
    <t xml:space="preserve">Papiers
Canettes
Bouteilles PET
Gobelets Cartons
Essuis-Mains</t>
  </si>
  <si>
    <t xml:space="preserve">Vallée d'Aoste </t>
  </si>
  <si>
    <r>
      <rPr>
        <b val="true"/>
        <sz val="14"/>
        <color rgb="FF000000"/>
        <rFont val="Arial"/>
        <family val="2"/>
        <charset val="1"/>
      </rPr>
      <t xml:space="preserve">(24462) BRIOCHE PASQUIER Charancieu
</t>
    </r>
    <r>
      <rPr>
        <sz val="14"/>
        <color rgb="FF000000"/>
        <rFont val="Arial"/>
        <family val="2"/>
        <charset val="1"/>
      </rPr>
      <t xml:space="preserve">BP 12 Rte des Eplagnes
38490 Charancieu
lundi-vendredi       08:30–12:30, 14:00–18:00
</t>
    </r>
    <r>
      <rPr>
        <b val="true"/>
        <sz val="14"/>
        <color rgb="FFFF0000"/>
        <rFont val="Arial"/>
        <family val="2"/>
        <charset val="1"/>
      </rPr>
      <t xml:space="preserve">Demande client de livrer des bacs propres (industrie alimentaire)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3X770 Papier/Cartons,1X770MD</t>
    </r>
  </si>
  <si>
    <t xml:space="preserve">C</t>
  </si>
  <si>
    <t xml:space="preserve">1S</t>
  </si>
  <si>
    <t xml:space="preserve">Papiers / cartons
Bouteilles PET
Gobelets cartons
Canettes
Essuis-Mains
Mégôts (ALD)</t>
  </si>
  <si>
    <r>
      <rPr>
        <b val="true"/>
        <sz val="14"/>
        <color rgb="FF000000"/>
        <rFont val="Arial"/>
        <family val="2"/>
        <charset val="1"/>
      </rPr>
      <t xml:space="preserve">(68028) Banque de Savoie COGNIN
</t>
    </r>
    <r>
      <rPr>
        <sz val="14"/>
        <color rgb="FF000000"/>
        <rFont val="Arial"/>
        <family val="2"/>
        <charset val="1"/>
      </rPr>
      <t xml:space="preserve">34 ROUTE DE LYON
73160 COGNIN
</t>
    </r>
    <r>
      <rPr>
        <sz val="14"/>
        <color rgb="FFFF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Mardi Jeudi
</t>
    </r>
    <r>
      <rPr>
        <sz val="14"/>
        <color rgb="FF000000"/>
        <rFont val="Arial"/>
        <family val="2"/>
        <charset val="1"/>
      </rPr>
      <t xml:space="preserve">8h30 12h/13h40 17h30
</t>
    </r>
    <r>
      <rPr>
        <b val="true"/>
        <sz val="14"/>
        <color rgb="FFFF0000"/>
        <rFont val="Arial"/>
        <family val="2"/>
        <charset val="1"/>
      </rPr>
      <t xml:space="preserve">Vendredi 
</t>
    </r>
    <r>
      <rPr>
        <sz val="14"/>
        <color rgb="FF000000"/>
        <rFont val="Arial"/>
        <family val="2"/>
        <charset val="1"/>
      </rPr>
      <t xml:space="preserve">8h30 12/13h40 16h20
</t>
    </r>
  </si>
  <si>
    <r>
      <rPr>
        <b val="true"/>
        <sz val="14"/>
        <color rgb="FF000000"/>
        <rFont val="Arial"/>
        <family val="2"/>
        <charset val="1"/>
      </rPr>
      <t xml:space="preserve">(80855) LOOMIS GAP
</t>
    </r>
    <r>
      <rPr>
        <sz val="14"/>
        <color rgb="FF000000"/>
        <rFont val="Arial"/>
        <family val="2"/>
        <charset val="1"/>
      </rPr>
      <t xml:space="preserve">45 Route de Rambaud 
05000 GAP
Lundi au vendredi : 8h-16h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Prendre l'équivalent de 3x770</t>
    </r>
  </si>
  <si>
    <r>
      <rPr>
        <sz val="14"/>
        <color rgb="FF000000"/>
        <rFont val="Arial"/>
        <family val="2"/>
        <charset val="1"/>
      </rPr>
      <t xml:space="preserve">Sacs  de papiers
</t>
    </r>
    <r>
      <rPr>
        <sz val="14"/>
        <color rgb="FFFF0000"/>
        <rFont val="Arial"/>
        <family val="2"/>
        <charset val="1"/>
      </rPr>
      <t xml:space="preserve">Prendre l'équivalent de 3x770</t>
    </r>
  </si>
  <si>
    <t xml:space="preserve">Pays Voironnais</t>
  </si>
  <si>
    <r>
      <rPr>
        <b val="true"/>
        <sz val="14"/>
        <color rgb="FF000000"/>
        <rFont val="Arial"/>
        <family val="2"/>
        <charset val="1"/>
      </rPr>
      <t xml:space="preserve">(88280) LAMY VOIRON
</t>
    </r>
    <r>
      <rPr>
        <sz val="14"/>
        <color rgb="FF000000"/>
        <rFont val="Arial"/>
        <family val="2"/>
        <charset val="1"/>
      </rPr>
      <t xml:space="preserve">1 Avenue Jules Ravat
38500 VOIRON
</t>
    </r>
    <r>
      <rPr>
        <b val="true"/>
        <sz val="14"/>
        <color rgb="FF000000"/>
        <rFont val="Arial"/>
        <family val="2"/>
        <charset val="1"/>
      </rPr>
      <t xml:space="preserve">
09h-12h30 / 14h-17h
</t>
    </r>
    <r>
      <rPr>
        <b val="true"/>
        <u val="single"/>
        <sz val="14"/>
        <color rgb="FFFF0000"/>
        <rFont val="Arial"/>
        <family val="2"/>
        <charset val="1"/>
      </rPr>
      <t xml:space="preserve">message du client :</t>
    </r>
    <r>
      <rPr>
        <b val="true"/>
        <sz val="14"/>
        <color rgb="FFFF0000"/>
        <rFont val="Arial"/>
        <family val="2"/>
        <charset val="1"/>
      </rPr>
      <t xml:space="preserve"> 
les bureaux sont en rez-de-chaussée sur rue - la rue est passante, mais il est possible de se garer dans la petite rue devant la porte d'accès au local </t>
    </r>
  </si>
  <si>
    <t xml:space="preserve">Désarchivage avec destruction confidentielle 1h  
1er étage  Accès par escalier
Prévoir 4x360
Imprimer CDD + photo</t>
  </si>
  <si>
    <t xml:space="preserve">Maurienne</t>
  </si>
  <si>
    <r>
      <rPr>
        <b val="true"/>
        <sz val="14"/>
        <color rgb="FF000000"/>
        <rFont val="Arial"/>
        <family val="2"/>
        <charset val="1"/>
      </rPr>
      <t xml:space="preserve">(68021) Banque de Savoie LA ROCHETTE
</t>
    </r>
    <r>
      <rPr>
        <sz val="14"/>
        <color rgb="FF000000"/>
        <rFont val="Arial"/>
        <family val="2"/>
        <charset val="1"/>
      </rPr>
      <t xml:space="preserve">PLACE ANTOINE PERRIER
73110 LA ROCHETTE
</t>
    </r>
    <r>
      <rPr>
        <b val="true"/>
        <sz val="14"/>
        <color rgb="FFFF0000"/>
        <rFont val="Arial"/>
        <family val="2"/>
        <charset val="1"/>
      </rPr>
      <t xml:space="preserve">Mardi Mercredi : </t>
    </r>
    <r>
      <rPr>
        <sz val="14"/>
        <color rgb="FF000000"/>
        <rFont val="Arial"/>
        <family val="2"/>
        <charset val="1"/>
      </rPr>
      <t xml:space="preserve">8h30-12h / 13h40-17h30
</t>
    </r>
    <r>
      <rPr>
        <b val="true"/>
        <sz val="14"/>
        <color rgb="FFFF0000"/>
        <rFont val="Arial"/>
        <family val="2"/>
        <charset val="1"/>
      </rPr>
      <t xml:space="preserve">Vendredi : </t>
    </r>
    <r>
      <rPr>
        <sz val="14"/>
        <color rgb="FF000000"/>
        <rFont val="Arial"/>
        <family val="2"/>
        <charset val="1"/>
      </rPr>
      <t xml:space="preserve"> 8h30-12h / 13h40-16h20
</t>
    </r>
  </si>
  <si>
    <t xml:space="preserve">Papiers
Cartons</t>
  </si>
  <si>
    <t xml:space="preserve">Initialement prévu 16/07</t>
  </si>
  <si>
    <r>
      <rPr>
        <b val="true"/>
        <sz val="14"/>
        <color rgb="FF000000"/>
        <rFont val="Arial"/>
        <family val="2"/>
        <charset val="1"/>
      </rPr>
      <t xml:space="preserve">(82686) MAIF GAP
</t>
    </r>
    <r>
      <rPr>
        <sz val="14"/>
        <color rgb="FF000000"/>
        <rFont val="Arial"/>
        <family val="2"/>
        <charset val="1"/>
      </rPr>
      <t xml:space="preserve">27 Avenue François Mitterand
05000 GAP
Lundi au vendredi : 9h-12h / 14h-17h30
</t>
    </r>
    <r>
      <rPr>
        <b val="true"/>
        <sz val="14"/>
        <color rgb="FF000000"/>
        <rFont val="Arial"/>
        <family val="2"/>
        <charset val="1"/>
      </rPr>
      <t xml:space="preserve">
Sacs : 1 Aquilux Emballages en mélange + 1 Aquilux Papiers
</t>
    </r>
    <r>
      <rPr>
        <b val="true"/>
        <u val="single"/>
        <sz val="14"/>
        <color rgb="FFFF0000"/>
        <rFont val="Arial"/>
        <family val="2"/>
        <charset val="1"/>
      </rPr>
      <t xml:space="preserve">ATTENTION </t>
    </r>
    <r>
      <rPr>
        <b val="true"/>
        <sz val="14"/>
        <color rgb="FFFF0000"/>
        <rFont val="Arial"/>
        <family val="2"/>
        <charset val="1"/>
      </rPr>
      <t xml:space="preserve">: Ne pas collecter les Aquiluxs DIB</t>
    </r>
  </si>
  <si>
    <t xml:space="preserve">Papiers
Emballages en mélange</t>
  </si>
  <si>
    <r>
      <rPr>
        <b val="true"/>
        <sz val="14"/>
        <color rgb="FF000000"/>
        <rFont val="Arial"/>
        <family val="2"/>
        <charset val="1"/>
      </rPr>
      <t xml:space="preserve">(68043) Banque de Savoie LA TOUSSUIRE
</t>
    </r>
    <r>
      <rPr>
        <sz val="14"/>
        <color rgb="FF000000"/>
        <rFont val="Arial"/>
        <family val="2"/>
        <charset val="1"/>
      </rPr>
      <t xml:space="preserve">FONTCOUVERTE
73300 LA  TOUSSUIRE
</t>
    </r>
    <r>
      <rPr>
        <b val="true"/>
        <u val="single"/>
        <sz val="14"/>
        <color rgb="FFFF0000"/>
        <rFont val="Arial"/>
        <family val="2"/>
        <charset val="1"/>
      </rPr>
      <t xml:space="preserve">Du 01/07/26 au 28/08/26 :</t>
    </r>
    <r>
      <rPr>
        <b val="true"/>
        <sz val="14"/>
        <color rgb="FFFF0000"/>
        <rFont val="Arial"/>
        <family val="2"/>
        <charset val="1"/>
      </rPr>
      <t xml:space="preserve"> Mercredi ET Vendredi uniquement</t>
    </r>
    <r>
      <rPr>
        <b val="true"/>
        <sz val="14"/>
        <color rgb="FF000000"/>
        <rFont val="Arial"/>
        <family val="2"/>
        <charset val="1"/>
      </rPr>
      <t xml:space="preserve"> 8h50-12h / 13h40-17h</t>
    </r>
  </si>
  <si>
    <r>
      <rPr>
        <b val="true"/>
        <sz val="14"/>
        <color rgb="FF000000"/>
        <rFont val="Arial"/>
        <family val="2"/>
        <charset val="1"/>
      </rPr>
      <t xml:space="preserve">(79937) SAMSE SAINT FIRMIN
</t>
    </r>
    <r>
      <rPr>
        <sz val="14"/>
        <color rgb="FF000000"/>
        <rFont val="Arial"/>
        <family val="2"/>
        <charset val="1"/>
      </rPr>
      <t xml:space="preserve">158 Rue Sous le Fort
05800 SAINT-FIRMIN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7h30-12h / 13h30-17h
</t>
    </r>
    <r>
      <rPr>
        <b val="true"/>
        <sz val="14"/>
        <color rgb="FF000000"/>
        <rFont val="Arial"/>
        <family val="2"/>
        <charset val="1"/>
      </rPr>
      <t xml:space="preserve">
1x360 Gobeles Cartons</t>
    </r>
  </si>
  <si>
    <t xml:space="preserve">Gobelets cartons
Piles (ALD)</t>
  </si>
  <si>
    <t xml:space="preserve">Meylan 1/2</t>
  </si>
  <si>
    <t xml:space="preserve">Stéphane</t>
  </si>
  <si>
    <t xml:space="preserve">Périphérie et Bassin de Chambéry / Grésivaudan</t>
  </si>
  <si>
    <t xml:space="preserve">Normal / Sassenage / Seyssinet / Fontaine / Seyssins</t>
  </si>
  <si>
    <t xml:space="preserve">Camion 4</t>
  </si>
  <si>
    <t xml:space="preserve">CANTON DE ROUSSILLON</t>
  </si>
  <si>
    <r>
      <rPr>
        <b val="true"/>
        <sz val="14"/>
        <color rgb="FF000000"/>
        <rFont val="Arial"/>
        <family val="2"/>
        <charset val="1"/>
      </rPr>
      <t xml:space="preserve">(60480) SHELL Aire de ROUSSILLON ROCAMAR HUBENCY
</t>
    </r>
    <r>
      <rPr>
        <sz val="14"/>
        <color rgb="FF000000"/>
        <rFont val="Arial"/>
        <family val="2"/>
        <charset val="1"/>
      </rPr>
      <t xml:space="preserve">AUTOROUTE A7
38150 Roussillon
</t>
    </r>
    <r>
      <rPr>
        <b val="true"/>
        <sz val="14"/>
        <color rgb="FF000000"/>
        <rFont val="Arial"/>
        <family val="2"/>
        <charset val="1"/>
      </rPr>
      <t xml:space="preserve">2x770 MD </t>
    </r>
    <r>
      <rPr>
        <b val="true"/>
        <u val="single"/>
        <sz val="14"/>
        <color rgb="FFFF0000"/>
        <rFont val="Arial"/>
        <family val="2"/>
        <charset val="1"/>
      </rPr>
      <t xml:space="preserve">Sécu</t>
    </r>
  </si>
  <si>
    <t xml:space="preserve">Canettes
Bouteilles PET
Gonbelets Cartons</t>
  </si>
  <si>
    <t xml:space="preserve">Meylan</t>
  </si>
  <si>
    <r>
      <rPr>
        <b val="true"/>
        <sz val="14"/>
        <color rgb="FF000000"/>
        <rFont val="Arial"/>
        <family val="2"/>
        <charset val="1"/>
      </rPr>
      <t xml:space="preserve">(24837) France Travail DT Meylan
</t>
    </r>
    <r>
      <rPr>
        <sz val="14"/>
        <color rgb="FF000000"/>
        <rFont val="Arial"/>
        <family val="2"/>
        <charset val="1"/>
      </rPr>
      <t xml:space="preserve">16 C Chem. de Malacher
38240 Meylan
lundi-jeudi         08:30–16:00
vendredi    08:30–12:30
Mme Boishardy
</t>
    </r>
    <r>
      <rPr>
        <b val="true"/>
        <sz val="14"/>
        <color rgb="FF000000"/>
        <rFont val="Arial"/>
        <family val="2"/>
        <charset val="1"/>
      </rPr>
      <t xml:space="preserve">2X360 sécu papier et 1x360 MD
</t>
    </r>
    <r>
      <rPr>
        <sz val="14"/>
        <color rgb="FF000000"/>
        <rFont val="Arial"/>
        <family val="2"/>
        <charset val="1"/>
      </rPr>
      <t xml:space="preserve">
Il n'y a pas d'accueil le jeudi après-midi dans aucune agence.</t>
    </r>
  </si>
  <si>
    <t xml:space="preserve">INVENTAIRE DES BACS A REMPLIR ET FAIRE SIGNER PAR LE CLIENT</t>
  </si>
  <si>
    <t xml:space="preserve">Papiers
MD</t>
  </si>
  <si>
    <t xml:space="preserve">GRENOBLE</t>
  </si>
  <si>
    <r>
      <rPr>
        <b val="true"/>
        <sz val="14"/>
        <color rgb="FF000000"/>
        <rFont val="Arial"/>
        <family val="2"/>
        <charset val="1"/>
      </rPr>
      <t xml:space="preserve">(62518) NORMAL -OPTI environnement
</t>
    </r>
    <r>
      <rPr>
        <sz val="14"/>
        <color rgb="FF000000"/>
        <rFont val="Arial"/>
        <family val="2"/>
        <charset val="1"/>
      </rPr>
      <t xml:space="preserve">5 rue de la république
38000 Grenoble
</t>
    </r>
    <r>
      <rPr>
        <b val="true"/>
        <sz val="14"/>
        <color rgb="FFFF0000"/>
        <rFont val="Arial"/>
        <family val="2"/>
        <charset val="1"/>
      </rPr>
      <t xml:space="preserve">AVANT 9 H 
</t>
    </r>
    <r>
      <rPr>
        <sz val="14"/>
        <color rgb="FF000000"/>
        <rFont val="Arial"/>
        <family val="2"/>
        <charset val="1"/>
      </rPr>
      <t xml:space="preserve">06 14 07 41 10 
0635389608</t>
    </r>
  </si>
  <si>
    <t xml:space="preserve">1x/j</t>
  </si>
  <si>
    <t xml:space="preserve">Cartons</t>
  </si>
  <si>
    <r>
      <rPr>
        <b val="true"/>
        <sz val="14"/>
        <color rgb="FF000000"/>
        <rFont val="Arial"/>
        <family val="2"/>
        <charset val="1"/>
      </rPr>
      <t xml:space="preserve">(25350) UNIBIO SAINT RAMBERT D'ALBON                          
</t>
    </r>
    <r>
      <rPr>
        <sz val="14"/>
        <color rgb="FF000000"/>
        <rFont val="Arial"/>
        <family val="2"/>
        <charset val="1"/>
      </rPr>
      <t xml:space="preserve">32 Avenue Docteur Lucien Steinberg
26140 Saint Rambert d'Albon          
Lundi - Vendredi : 7h30 - 12h30 / 14h00 - 18h00
</t>
    </r>
    <r>
      <rPr>
        <b val="true"/>
        <sz val="14"/>
        <color rgb="FF000000"/>
        <rFont val="Arial"/>
        <family val="2"/>
        <charset val="1"/>
      </rPr>
      <t xml:space="preserve">1x360 Papiers </t>
    </r>
    <r>
      <rPr>
        <b val="true"/>
        <u val="single"/>
        <sz val="14"/>
        <color rgb="FFFF0000"/>
        <rFont val="Arial"/>
        <family val="2"/>
        <charset val="1"/>
      </rPr>
      <t xml:space="preserve">sécu</t>
    </r>
  </si>
  <si>
    <t xml:space="preserve">Papiers confidentiels</t>
  </si>
  <si>
    <r>
      <rPr>
        <b val="true"/>
        <sz val="14"/>
        <color rgb="FF000000"/>
        <rFont val="Arial"/>
        <family val="2"/>
        <charset val="1"/>
      </rPr>
      <t xml:space="preserve">(24740) KPMG
</t>
    </r>
    <r>
      <rPr>
        <b val="true"/>
        <sz val="14"/>
        <color rgb="FFFF0000"/>
        <rFont val="Arial"/>
        <family val="2"/>
        <charset val="1"/>
      </rPr>
      <t xml:space="preserve">Ne PAS COLLECTER AVANT 9H 
</t>
    </r>
    <r>
      <rPr>
        <b val="true"/>
        <sz val="14"/>
        <color rgb="FF000000"/>
        <rFont val="Arial"/>
        <family val="2"/>
        <charset val="1"/>
      </rPr>
      <t xml:space="preserve">(dde mne Bourdou17/06/2026)
</t>
    </r>
    <r>
      <rPr>
        <sz val="14"/>
        <color rgb="FF000000"/>
        <rFont val="Arial"/>
        <family val="2"/>
        <charset val="1"/>
      </rPr>
      <t xml:space="preserve">51 chemin de la Taillat
38240 Meylan
Nadine Garceau
06 29 22 97 66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NOUVEAU PROTOCOLE OBLIGATOIRE (étages 1 +2)
</t>
    </r>
    <r>
      <rPr>
        <b val="true"/>
        <sz val="14"/>
        <color rgb="FF000000"/>
        <rFont val="Arial"/>
        <family val="2"/>
        <charset val="1"/>
      </rPr>
      <t xml:space="preserve">
Collecte en sac de 2 corbeilles d'apport volontaire PAPIER (C'est leur propre matériel) avec changement des sacs
1x360 MD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theme="1"/>
        <rFont val="Arial"/>
        <family val="2"/>
        <charset val="1"/>
      </rPr>
      <t xml:space="preserve"> + 1x770 Cartons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rgb="FF000000"/>
        <rFont val="Arial"/>
        <family val="2"/>
        <charset val="1"/>
      </rPr>
      <t xml:space="preserve">, sacs, </t>
    </r>
    <r>
      <rPr>
        <b val="true"/>
        <sz val="14"/>
        <color rgb="FFFF0000"/>
        <rFont val="Arial"/>
        <family val="2"/>
        <charset val="1"/>
      </rPr>
      <t xml:space="preserve">2 sacs caissons confidentiels</t>
    </r>
  </si>
  <si>
    <t xml:space="preserve">Papiers
Papiers conf.
Cartons
Gobelets carton
Canettes
Bouteilles plastique
</t>
  </si>
  <si>
    <r>
      <rPr>
        <b val="true"/>
        <sz val="14"/>
        <color rgb="FF000000"/>
        <rFont val="Arial"/>
        <family val="2"/>
        <charset val="1"/>
      </rPr>
      <t xml:space="preserve">(78915) GEOTEC VOGLANS
</t>
    </r>
    <r>
      <rPr>
        <sz val="14"/>
        <color rgb="FF000000"/>
        <rFont val="Arial"/>
        <family val="2"/>
        <charset val="1"/>
      </rPr>
      <t xml:space="preserve">545 Rue de la prairie
73420 VOGLANS
Lundi au vendredi : 8h-17h
</t>
    </r>
    <r>
      <rPr>
        <b val="true"/>
        <sz val="14"/>
        <color rgb="FF000000"/>
        <rFont val="Arial"/>
        <family val="2"/>
        <charset val="1"/>
      </rPr>
      <t xml:space="preserve">
1X240 DIB + 1X240 PAPIERS</t>
    </r>
  </si>
  <si>
    <t xml:space="preserve">Papiers
DIB</t>
  </si>
  <si>
    <t xml:space="preserve">Sassenage/Seyssinet/Fontaine/Seyssins</t>
  </si>
  <si>
    <r>
      <rPr>
        <b val="true"/>
        <sz val="14"/>
        <color rgb="FF000000"/>
        <rFont val="Arial"/>
        <family val="2"/>
        <charset val="1"/>
      </rPr>
      <t xml:space="preserve">(64671) DHL SASSENAGE
</t>
    </r>
    <r>
      <rPr>
        <sz val="14"/>
        <color rgb="FF000000"/>
        <rFont val="Arial"/>
        <family val="2"/>
        <charset val="1"/>
      </rPr>
      <t xml:space="preserve">59 Avenue de Valence
38360 Sassenage
</t>
    </r>
    <r>
      <rPr>
        <b val="true"/>
        <sz val="14"/>
        <color rgb="FFFF0000"/>
        <rFont val="Arial"/>
        <family val="2"/>
        <charset val="1"/>
      </rPr>
      <t xml:space="preserve">Les passages doivent se faire entre 10h30 et 15h30 avec signature et présentation à l'accueil obligatoire
</t>
    </r>
    <r>
      <rPr>
        <b val="true"/>
        <sz val="14"/>
        <color rgb="FF000000"/>
        <rFont val="Arial"/>
        <family val="2"/>
        <charset val="1"/>
      </rPr>
      <t xml:space="preserve">1x770 DIB
2x 770 Carton
3x770 Films plastiques
1x770 MD + Glassine</t>
    </r>
  </si>
  <si>
    <t xml:space="preserve">
1x770 DIB
2x 770 Carton
3x770 Films plastiques
1x770 MD + Glassine</t>
  </si>
  <si>
    <r>
      <rPr>
        <b val="true"/>
        <sz val="14"/>
        <color rgb="FF000000"/>
        <rFont val="Arial"/>
        <family val="2"/>
        <charset val="1"/>
      </rPr>
      <t xml:space="preserve">(56186) XPO SUPPORT SERVICES SAINT RAMBERT D'ALBON
</t>
    </r>
    <r>
      <rPr>
        <sz val="14"/>
        <color rgb="FF000000"/>
        <rFont val="Arial"/>
        <family val="2"/>
        <charset val="1"/>
      </rPr>
      <t xml:space="preserve">4 Impasse Lucien Chautant
Bâtiment ECO 7 
26140 Saint Rambert d'Albon
</t>
    </r>
    <r>
      <rPr>
        <b val="true"/>
        <sz val="14"/>
        <color rgb="FF000000"/>
        <rFont val="Arial"/>
        <family val="2"/>
        <charset val="1"/>
      </rPr>
      <t xml:space="preserve">2x360 Papiers/Cartons + 2x770 MD</t>
    </r>
  </si>
  <si>
    <t xml:space="preserve">Papiers
Cartons
MD</t>
  </si>
  <si>
    <r>
      <rPr>
        <b val="true"/>
        <sz val="14"/>
        <color rgb="FF000000"/>
        <rFont val="Arial"/>
        <family val="2"/>
        <charset val="1"/>
      </rPr>
      <t xml:space="preserve">(63138) DELIFRANCE ROMANS
</t>
    </r>
    <r>
      <rPr>
        <sz val="14"/>
        <color rgb="FF000000"/>
        <rFont val="Arial"/>
        <family val="2"/>
        <charset val="1"/>
      </rPr>
      <t xml:space="preserve">9 Rue Niclas Appert
ZI Les Chasses 
26100 Romans sur Isère 
</t>
    </r>
    <r>
      <rPr>
        <b val="true"/>
        <sz val="14"/>
        <color rgb="FFFF0000"/>
        <rFont val="Arial"/>
        <family val="2"/>
        <charset val="1"/>
      </rPr>
      <t xml:space="preserve">PROTOCOLE OBLIGATOIRE</t>
    </r>
  </si>
  <si>
    <r>
      <rPr>
        <b val="true"/>
        <sz val="14"/>
        <color rgb="FF000000"/>
        <rFont val="Arial"/>
        <family val="2"/>
        <charset val="1"/>
      </rPr>
      <t xml:space="preserve">(8528) Clauger Voglans
</t>
    </r>
    <r>
      <rPr>
        <sz val="14"/>
        <color rgb="FF000000"/>
        <rFont val="Arial"/>
        <family val="2"/>
        <charset val="1"/>
      </rPr>
      <t xml:space="preserve">227 Rue de la Prairie
73420 VOGLANS
Lundi au jeudi : 8h00-17h30
Vendredi : 8h00-16h30
</t>
    </r>
    <r>
      <rPr>
        <b val="true"/>
        <sz val="14"/>
        <color rgb="FF000000"/>
        <rFont val="Arial"/>
        <family val="2"/>
        <charset val="1"/>
      </rPr>
      <t xml:space="preserve">1x120 Feuillard + 1x360  Papiers + 1x360 MD + 1x770 Cartons</t>
    </r>
  </si>
  <si>
    <t xml:space="preserve">Café
BOIS
Feuillards
Canettes
Gobelets cartons
Bouteille PET
Papiers</t>
  </si>
  <si>
    <r>
      <rPr>
        <b val="true"/>
        <sz val="14"/>
        <color rgb="FF000000"/>
        <rFont val="Arial"/>
        <family val="2"/>
        <charset val="1"/>
      </rPr>
      <t xml:space="preserve">(8383) CERA Seyssinet
</t>
    </r>
    <r>
      <rPr>
        <sz val="14"/>
        <color rgb="FF000000"/>
        <rFont val="Arial"/>
        <family val="2"/>
        <charset val="1"/>
      </rPr>
      <t xml:space="preserve">80 Av. de la République
38170 Seyssinet-Pariset
lundi        Fermé
mardi-vendredi       09:15–12:30 / 13:30–18:00
</t>
    </r>
    <r>
      <rPr>
        <b val="true"/>
        <sz val="14"/>
        <color rgb="FF000000"/>
        <rFont val="Arial"/>
        <family val="2"/>
        <charset val="1"/>
      </rPr>
      <t xml:space="preserve">Sacs dans Aquilux, cartons</t>
    </r>
  </si>
  <si>
    <r>
      <rPr>
        <b val="true"/>
        <sz val="14"/>
        <color rgb="FF000000"/>
        <rFont val="Arial"/>
        <family val="2"/>
        <charset val="1"/>
      </rPr>
      <t xml:space="preserve">(25367) XPO LOGISTICS TRANSPORT SOLUTION (Fouillouses)
</t>
    </r>
    <r>
      <rPr>
        <sz val="14"/>
        <color rgb="FF000000"/>
        <rFont val="Arial"/>
        <family val="2"/>
        <charset val="1"/>
      </rPr>
      <t xml:space="preserve">10 les Fouillouses Ouest
26140 Saint Rambert d'Albon
</t>
    </r>
    <r>
      <rPr>
        <b val="true"/>
        <sz val="14"/>
        <color rgb="FF000000"/>
        <rFont val="Arial"/>
        <family val="2"/>
        <charset val="1"/>
      </rPr>
      <t xml:space="preserve">1x770 MD</t>
    </r>
  </si>
  <si>
    <t xml:space="preserve">Gobelets carton
Canettes 
Bouteilles plastique</t>
  </si>
  <si>
    <r>
      <rPr>
        <b val="true"/>
        <sz val="14"/>
        <color rgb="FF000000"/>
        <rFont val="Arial"/>
        <family val="2"/>
        <charset val="1"/>
      </rPr>
      <t xml:space="preserve">(77177) CABINET DENTAIRE DE MEYLAN B/B
</t>
    </r>
    <r>
      <rPr>
        <sz val="14"/>
        <color rgb="FF000000"/>
        <rFont val="Arial"/>
        <family val="2"/>
        <charset val="1"/>
      </rPr>
      <t xml:space="preserve">65 A Boulevard des Alpes
38240 MEYLAN
8h30-13h / 14h-18h
</t>
    </r>
    <r>
      <rPr>
        <b val="true"/>
        <sz val="14"/>
        <color rgb="FF000000"/>
        <rFont val="Arial"/>
        <family val="2"/>
        <charset val="1"/>
      </rPr>
      <t xml:space="preserve">1 Demi-lune confidentielle</t>
    </r>
    <r>
      <rPr>
        <b val="true"/>
        <sz val="14"/>
        <color rgb="FFFF0000"/>
        <rFont val="Arial"/>
        <family val="2"/>
        <charset val="1"/>
      </rPr>
      <t xml:space="preserve"> (sac bleu)</t>
    </r>
  </si>
  <si>
    <t xml:space="preserve">Bassin de Chambéry</t>
  </si>
  <si>
    <r>
      <rPr>
        <b val="true"/>
        <sz val="14"/>
        <color rgb="FF000000"/>
        <rFont val="Arial"/>
        <family val="2"/>
        <charset val="1"/>
      </rPr>
      <t xml:space="preserve">(45591) OVELIA LE CARRE JOSEPHINE - GROUPE VINCI
</t>
    </r>
    <r>
      <rPr>
        <sz val="14"/>
        <color rgb="FF000000"/>
        <rFont val="Arial"/>
        <family val="2"/>
        <charset val="1"/>
      </rPr>
      <t xml:space="preserve">6 Rue Joseph Denarie,
73190 Challes-les-Eaux
Mme Florence GROLLIERE Poste Directrice de la Résidence Téléphone
04.82.86.81.82
06.10.73.34.52
</t>
    </r>
    <r>
      <rPr>
        <b val="true"/>
        <sz val="14"/>
        <color rgb="FF000000"/>
        <rFont val="Arial"/>
        <family val="2"/>
        <charset val="1"/>
      </rPr>
      <t xml:space="preserve">A la main : 3 ou 4 cagettes en bois/ local extérieur
A la main : 1 palette bois/ local extérieur
A la main : 6 cartons à plat/local extérieur</t>
    </r>
  </si>
  <si>
    <t xml:space="preserve">3 sacs ( gobelets cartons , papier)</t>
  </si>
  <si>
    <r>
      <rPr>
        <b val="true"/>
        <sz val="14"/>
        <color rgb="FF000000"/>
        <rFont val="Arial"/>
        <family val="2"/>
        <charset val="1"/>
      </rPr>
      <t xml:space="preserve">(24559) CIC Seyssinet
</t>
    </r>
    <r>
      <rPr>
        <sz val="14"/>
        <color rgb="FF000000"/>
        <rFont val="Arial"/>
        <family val="2"/>
        <charset val="1"/>
      </rPr>
      <t xml:space="preserve">35 Bd des Frères Desaire
38170 Seyssinet-Pariset
lundi       Fermé
mardi      09:00–12:30, 14:00–18:00
mercredi-vendredi  09:00–12:30, 13:30–18:00
</t>
    </r>
    <r>
      <rPr>
        <b val="true"/>
        <sz val="14"/>
        <color rgb="FF000000"/>
        <rFont val="Arial"/>
        <family val="2"/>
        <charset val="1"/>
      </rPr>
      <t xml:space="preserve">Sacs,cartons</t>
    </r>
  </si>
  <si>
    <r>
      <rPr>
        <b val="true"/>
        <sz val="14"/>
        <color rgb="FF000000"/>
        <rFont val="Arial"/>
        <family val="2"/>
        <charset val="1"/>
      </rPr>
      <t xml:space="preserve">(34880) LAFUMA MOBILIER SAS
</t>
    </r>
    <r>
      <rPr>
        <sz val="14"/>
        <color rgb="FF000000"/>
        <rFont val="Arial"/>
        <family val="2"/>
        <charset val="1"/>
      </rPr>
      <t xml:space="preserve">19 Rue Victor Lafuma
26140 ANNEYRON</t>
    </r>
  </si>
  <si>
    <t xml:space="preserve">JUIN, JUILLET et AOUT : Passage à 2X/S</t>
  </si>
  <si>
    <r>
      <rPr>
        <b val="true"/>
        <sz val="14"/>
        <color rgb="FF000000"/>
        <rFont val="Arial"/>
        <family val="2"/>
        <charset val="1"/>
      </rPr>
      <t xml:space="preserve">(8347) CERA Meylan
</t>
    </r>
    <r>
      <rPr>
        <sz val="14"/>
        <color rgb="FF000000"/>
        <rFont val="Arial"/>
        <family val="2"/>
        <charset val="1"/>
      </rPr>
      <t xml:space="preserve">42 Av. de la Plaine Fleurie
38240 Meylan
lundi           Fermé
mardi au vendredi    09:15–12:30, 13:30–18:00
</t>
    </r>
    <r>
      <rPr>
        <b val="true"/>
        <sz val="14"/>
        <color rgb="FF000000"/>
        <rFont val="Arial"/>
        <family val="2"/>
        <charset val="1"/>
      </rPr>
      <t xml:space="preserve">Sacs dans Aquilux, cartons</t>
    </r>
  </si>
  <si>
    <r>
      <rPr>
        <b val="true"/>
        <sz val="14"/>
        <color rgb="FF000000"/>
        <rFont val="Arial"/>
        <family val="2"/>
        <charset val="1"/>
      </rPr>
      <t xml:space="preserve">(45591) OVELIA LE CARRE JOSEPHINE - GROUPE VINCI
</t>
    </r>
    <r>
      <rPr>
        <sz val="14"/>
        <color rgb="FF000000"/>
        <rFont val="Arial"/>
        <family val="2"/>
        <charset val="1"/>
      </rPr>
      <t xml:space="preserve">6 Rue Joseph Denarie,
73190 Challes-les-Eaux
Mme Florence GROLLIERE Poste Directrice de la Résidence Téléphone
04.82.86.81.82
06.10.73.34.52</t>
    </r>
  </si>
  <si>
    <t xml:space="preserve">1S
(Jeudi)</t>
  </si>
  <si>
    <t xml:space="preserve">Bio-déchets
1x120</t>
  </si>
  <si>
    <r>
      <rPr>
        <b val="true"/>
        <sz val="14"/>
        <color rgb="FF000000"/>
        <rFont val="Arial"/>
        <family val="2"/>
        <charset val="1"/>
      </rPr>
      <t xml:space="preserve">(62214) BIOLOGIC Seyssinet
</t>
    </r>
    <r>
      <rPr>
        <sz val="14"/>
        <color rgb="FF000000"/>
        <rFont val="Arial"/>
        <family val="2"/>
        <charset val="1"/>
      </rPr>
      <t xml:space="preserve">4 rue de Vaucanson
38170 Seyssinet-Pariset
</t>
    </r>
    <r>
      <rPr>
        <b val="true"/>
        <sz val="14"/>
        <color rgb="FF000000"/>
        <rFont val="Arial"/>
        <family val="2"/>
        <charset val="1"/>
      </rPr>
      <t xml:space="preserve">1x360 Papiers + 1x770 MD</t>
    </r>
  </si>
  <si>
    <t xml:space="preserve">Papiers
Cartons
Canettes
Bouteilles plastique
Verres</t>
  </si>
  <si>
    <r>
      <rPr>
        <b val="true"/>
        <sz val="14"/>
        <color rgb="FF000000"/>
        <rFont val="Arial"/>
        <family val="2"/>
        <charset val="1"/>
      </rPr>
      <t xml:space="preserve">(62344) BRENNTAG ANDANCE 
</t>
    </r>
    <r>
      <rPr>
        <sz val="14"/>
        <color rgb="FF000000"/>
        <rFont val="Arial"/>
        <family val="2"/>
        <charset val="1"/>
      </rPr>
      <t xml:space="preserve">575 ZA Les Sauzets
07340 ANDANCE </t>
    </r>
  </si>
  <si>
    <t xml:space="preserve">Papiers
Bouteilles PET
Canettes
Gobelets cartons</t>
  </si>
  <si>
    <r>
      <rPr>
        <b val="true"/>
        <sz val="14"/>
        <color rgb="FF000000"/>
        <rFont val="Arial"/>
        <family val="2"/>
        <charset val="1"/>
      </rPr>
      <t xml:space="preserve">(76973) KERCIA SOLUTIONS
</t>
    </r>
    <r>
      <rPr>
        <sz val="14"/>
        <color rgb="FF000000"/>
        <rFont val="Arial"/>
        <family val="2"/>
        <charset val="1"/>
      </rPr>
      <t xml:space="preserve">15 Chemin de Malacher
38240 MEYLAN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Lundi - vendredi : 9h-12h / 14h-18h
</t>
    </r>
    <r>
      <rPr>
        <b val="true"/>
        <sz val="14"/>
        <color rgb="FF000000"/>
        <rFont val="Arial"/>
        <family val="2"/>
        <charset val="1"/>
      </rPr>
      <t xml:space="preserve">
Collecte en sacs</t>
    </r>
  </si>
  <si>
    <t xml:space="preserve">Papiers
Cartons
Bouteilles PET
Verre</t>
  </si>
  <si>
    <r>
      <rPr>
        <b val="true"/>
        <sz val="14"/>
        <color rgb="FF000000"/>
        <rFont val="Arial"/>
        <family val="2"/>
        <charset val="1"/>
      </rPr>
      <t xml:space="preserve">(24898) ANDERLAINE (Ex : SR Conseil) Challes les Eaux
</t>
    </r>
    <r>
      <rPr>
        <sz val="14"/>
        <color rgb="FF000000"/>
        <rFont val="Arial"/>
        <family val="2"/>
        <charset val="1"/>
      </rPr>
      <t xml:space="preserve">245 avenue des Massettes
71190 Challes les Eaux
</t>
    </r>
    <r>
      <rPr>
        <b val="true"/>
        <sz val="14"/>
        <color rgb="FF000000"/>
        <rFont val="Arial"/>
        <family val="2"/>
        <charset val="1"/>
      </rPr>
      <t xml:space="preserve">Sacs</t>
    </r>
  </si>
  <si>
    <t xml:space="preserve">Papiers
Gobelets carton
Bouteilles plastique
Capsules café</t>
  </si>
  <si>
    <r>
      <rPr>
        <b val="true"/>
        <sz val="14"/>
        <color rgb="FF000000"/>
        <rFont val="Arial"/>
        <family val="2"/>
        <charset val="1"/>
      </rPr>
      <t xml:space="preserve">(74522) WIDIP
</t>
    </r>
    <r>
      <rPr>
        <sz val="14"/>
        <color rgb="FF000000"/>
        <rFont val="Arial"/>
        <family val="2"/>
        <charset val="1"/>
      </rPr>
      <t xml:space="preserve">29 Boulevard de l'Europe 
38170 SEYSSINET PARISET
8h-12h / 13h-17h
07 87 09 15 90
</t>
    </r>
    <r>
      <rPr>
        <b val="true"/>
        <sz val="14"/>
        <color rgb="FF000000"/>
        <rFont val="Arial"/>
        <family val="2"/>
        <charset val="1"/>
      </rPr>
      <t xml:space="preserve">1x240 Cartons</t>
    </r>
  </si>
  <si>
    <r>
      <rPr>
        <b val="true"/>
        <sz val="14"/>
        <color rgb="FF000000"/>
        <rFont val="Arial"/>
        <family val="2"/>
        <charset val="1"/>
      </rPr>
      <t xml:space="preserve">(25263) AGUETTANT
</t>
    </r>
    <r>
      <rPr>
        <sz val="14"/>
        <color rgb="FF000000"/>
        <rFont val="Arial"/>
        <family val="2"/>
        <charset val="1"/>
      </rPr>
      <t xml:space="preserve">60 Rue de Chantecaille            
07340 Champagne  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Imprimer 2 ODM et en laisser un au client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1x120 Bio-déchets                                                            </t>
    </r>
  </si>
  <si>
    <r>
      <rPr>
        <b val="true"/>
        <sz val="14"/>
        <color rgb="FF000000"/>
        <rFont val="Arial"/>
        <family val="2"/>
        <charset val="1"/>
      </rPr>
      <t xml:space="preserve">(24431) BANQUE PALATINE Meylan (Trackdéchets 6951)
</t>
    </r>
    <r>
      <rPr>
        <sz val="14"/>
        <color rgb="FF000000"/>
        <rFont val="Arial"/>
        <family val="2"/>
        <charset val="1"/>
      </rPr>
      <t xml:space="preserve">18 Chemin de Malacher
38240 Meylan
</t>
    </r>
    <r>
      <rPr>
        <b val="true"/>
        <sz val="14"/>
        <color rgb="FFFF0000"/>
        <rFont val="Arial"/>
        <family val="2"/>
        <charset val="1"/>
      </rPr>
      <t xml:space="preserve">2x 1/2 lune sécurisées
</t>
    </r>
    <r>
      <rPr>
        <b val="true"/>
        <sz val="14"/>
        <color rgb="FF000000"/>
        <rFont val="Arial"/>
        <family val="2"/>
        <charset val="1"/>
      </rPr>
      <t xml:space="preserve">4 x1/2 lune
</t>
    </r>
    <r>
      <rPr>
        <b val="true"/>
        <sz val="14"/>
        <color rgb="FFFF0000"/>
        <rFont val="Arial"/>
        <family val="2"/>
        <charset val="1"/>
      </rPr>
      <t xml:space="preserve">--&gt; Prévoir sacs bleus
</t>
    </r>
    <r>
      <rPr>
        <b val="true"/>
        <sz val="14"/>
        <color rgb="FF000000"/>
        <rFont val="Arial"/>
        <family val="2"/>
        <charset val="1"/>
      </rPr>
      <t xml:space="preserve">Collecte à la corbeilles des DEMI LUNES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CARTOUCHES D'ENCRE à la demande
</t>
    </r>
    <r>
      <rPr>
        <b val="true"/>
        <sz val="14"/>
        <color rgb="FFFF0000"/>
        <rFont val="Arial"/>
        <family val="2"/>
        <charset val="1"/>
      </rPr>
      <t xml:space="preserve">
NOTER LE NOMBRE LE SAC pour facturation</t>
    </r>
  </si>
  <si>
    <t xml:space="preserve">PAPIER SECU - BP - CANETTES - GOBELETS CARTON - CAPSULES CAFE </t>
  </si>
  <si>
    <r>
      <rPr>
        <b val="true"/>
        <sz val="14"/>
        <color rgb="FF000000"/>
        <rFont val="Arial"/>
        <family val="2"/>
        <charset val="1"/>
      </rPr>
      <t xml:space="preserve">(24415) APLIM - Chambery
</t>
    </r>
    <r>
      <rPr>
        <sz val="14"/>
        <color rgb="FF000000"/>
        <rFont val="Arial"/>
        <family val="2"/>
        <charset val="1"/>
      </rPr>
      <t xml:space="preserve">Z.A. Les Côtes 73190, 0 RN 6,
73190 SAINT JEOIRE EN PRIEURE
Monsieur Xavier CASSEZ</t>
    </r>
  </si>
  <si>
    <t xml:space="preserve">120 Verre
2 * 360 papier
770 MD</t>
  </si>
  <si>
    <r>
      <rPr>
        <b val="true"/>
        <sz val="14"/>
        <rFont val="Arial"/>
        <family val="2"/>
        <charset val="1"/>
      </rPr>
      <t xml:space="preserve">(24847) CLINIQUE PSYPRO
</t>
    </r>
    <r>
      <rPr>
        <sz val="14"/>
        <rFont val="Arial"/>
        <family val="2"/>
        <charset val="1"/>
      </rPr>
      <t xml:space="preserve">69 rue Pasteur
38180 Seyssins 
</t>
    </r>
    <r>
      <rPr>
        <b val="true"/>
        <sz val="14"/>
        <rFont val="Arial"/>
        <family val="2"/>
        <charset val="1"/>
      </rPr>
      <t xml:space="preserve">1x770 Papiers/Cartons</t>
    </r>
  </si>
  <si>
    <r>
      <rPr>
        <b val="true"/>
        <sz val="14"/>
        <color theme="1"/>
        <rFont val="Arial"/>
        <family val="2"/>
        <charset val="1"/>
      </rPr>
      <t xml:space="preserve">(51403) REVOL PORCELAINE
</t>
    </r>
    <r>
      <rPr>
        <sz val="14"/>
        <color theme="1"/>
        <rFont val="Arial"/>
        <family val="2"/>
        <charset val="1"/>
      </rPr>
      <t xml:space="preserve">184 Rue Hector Revol
26240 Saint Uze
</t>
    </r>
    <r>
      <rPr>
        <b val="true"/>
        <sz val="14"/>
        <color theme="1"/>
        <rFont val="Arial"/>
        <family val="2"/>
        <charset val="1"/>
      </rPr>
      <t xml:space="preserve">
</t>
    </r>
    <r>
      <rPr>
        <b val="true"/>
        <sz val="22"/>
        <color rgb="FFFF0000"/>
        <rFont val="Arial"/>
        <family val="2"/>
        <charset val="1"/>
      </rPr>
      <t xml:space="preserve">Double de clé disponible à l'accueil</t>
    </r>
  </si>
  <si>
    <t xml:space="preserve">8 x bouteilles plastique, 
7 x canettes,
 4 x gobelets carton</t>
  </si>
  <si>
    <r>
      <rPr>
        <b val="true"/>
        <sz val="14"/>
        <color rgb="FF000000"/>
        <rFont val="Arial"/>
        <family val="2"/>
        <charset val="1"/>
      </rPr>
      <t xml:space="preserve">(24666) EUROFINS LABAZUR Meylan
</t>
    </r>
    <r>
      <rPr>
        <sz val="14"/>
        <color rgb="FF000000"/>
        <rFont val="Arial"/>
        <family val="2"/>
        <charset val="1"/>
      </rPr>
      <t xml:space="preserve">6 Av. du Granier
38240 Meylan
lundi  au vendredi        07:00–13:00, 14:00–18:00
</t>
    </r>
    <r>
      <rPr>
        <sz val="14"/>
        <color rgb="FFFF0000"/>
        <rFont val="Arial"/>
        <family val="2"/>
        <charset val="1"/>
      </rPr>
      <t xml:space="preserve">noter le nombre de corbeilles pour la facturation
</t>
    </r>
    <r>
      <rPr>
        <b val="true"/>
        <sz val="14"/>
        <color rgb="FF000000"/>
        <rFont val="Arial"/>
        <family val="2"/>
        <charset val="1"/>
      </rPr>
      <t xml:space="preserve">Corbeilles fermées
</t>
    </r>
  </si>
  <si>
    <t xml:space="preserve">Papiers</t>
  </si>
  <si>
    <r>
      <rPr>
        <b val="true"/>
        <sz val="14"/>
        <color rgb="FF000000"/>
        <rFont val="Arial"/>
        <family val="2"/>
        <charset val="1"/>
      </rPr>
      <t xml:space="preserve">(66096) NGE LA CHAVANNE A/B
</t>
    </r>
    <r>
      <rPr>
        <sz val="14"/>
        <color rgb="FF000000"/>
        <rFont val="Arial"/>
        <family val="2"/>
        <charset val="1"/>
      </rPr>
      <t xml:space="preserve">385 Route de la Peyrouse
73800 LA CHAVANNE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MEME ADRESSE QUE GME MAIS PAS LA MEME ENTREE (voir protocole)
</t>
    </r>
    <r>
      <rPr>
        <b val="true"/>
        <sz val="14"/>
        <color rgb="FF000000"/>
        <rFont val="Arial"/>
        <family val="2"/>
        <charset val="1"/>
      </rPr>
      <t xml:space="preserve">
1x360 Papier, 1x770 MD</t>
    </r>
  </si>
  <si>
    <r>
      <rPr>
        <b val="true"/>
        <sz val="14"/>
        <color rgb="FF000000"/>
        <rFont val="Arial"/>
        <family val="2"/>
        <charset val="1"/>
      </rPr>
      <t xml:space="preserve">(24777) METRO
</t>
    </r>
    <r>
      <rPr>
        <sz val="14"/>
        <color rgb="FF000000"/>
        <rFont val="Arial"/>
        <family val="2"/>
        <charset val="1"/>
      </rPr>
      <t xml:space="preserve">ZI l'Argentière, 8 Rue François Blumet
38360 Sassenage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lundi-vendredi       06:00–18:00
</t>
    </r>
    <r>
      <rPr>
        <b val="true"/>
        <sz val="14"/>
        <color rgb="FF000000"/>
        <rFont val="Arial"/>
        <family val="2"/>
        <charset val="1"/>
      </rPr>
      <t xml:space="preserve">
1X360 Papiers + 1x770 Cartons
</t>
    </r>
  </si>
  <si>
    <r>
      <rPr>
        <b val="true"/>
        <sz val="14"/>
        <color rgb="FF000000"/>
        <rFont val="Arial"/>
        <family val="2"/>
        <charset val="1"/>
      </rPr>
      <t xml:space="preserve">(25348) UNIBIO BEAUREPAIRE
</t>
    </r>
    <r>
      <rPr>
        <sz val="14"/>
        <color rgb="FF000000"/>
        <rFont val="Arial"/>
        <family val="2"/>
        <charset val="1"/>
      </rPr>
      <t xml:space="preserve">40 Avenue de la Valloire
38270 Beaurepaire
</t>
    </r>
    <r>
      <rPr>
        <b val="true"/>
        <sz val="14"/>
        <color rgb="FF000000"/>
        <rFont val="Arial"/>
        <family val="2"/>
        <charset val="1"/>
      </rPr>
      <t xml:space="preserve">1x360 </t>
    </r>
    <r>
      <rPr>
        <b val="true"/>
        <u val="single"/>
        <sz val="14"/>
        <color rgb="FFFF0000"/>
        <rFont val="Arial"/>
        <family val="2"/>
        <charset val="1"/>
      </rPr>
      <t xml:space="preserve">Sécu</t>
    </r>
  </si>
  <si>
    <r>
      <rPr>
        <b val="true"/>
        <sz val="14"/>
        <color rgb="FF000000"/>
        <rFont val="Arial"/>
        <family val="2"/>
        <charset val="1"/>
      </rPr>
      <t xml:space="preserve">(67990) Banque Populaire AURA MEYLAN PLAINE FLEURIE
</t>
    </r>
    <r>
      <rPr>
        <sz val="14"/>
        <rFont val="Arial"/>
        <family val="2"/>
        <charset val="1"/>
      </rPr>
      <t xml:space="preserve">21 avenue de la Plaine Fleurie 
</t>
    </r>
    <r>
      <rPr>
        <sz val="14"/>
        <color rgb="FF000000"/>
        <rFont val="Arial"/>
        <family val="2"/>
        <charset val="1"/>
      </rPr>
      <t xml:space="preserve">38240 MEYLAN 
Lundi Mardi Mercredi et Vendredi 
9h - 12h15 et 13h45 à 17h45
le Jeudi
9h - 12h00 et 13h45 à 17h45</t>
    </r>
  </si>
  <si>
    <r>
      <rPr>
        <b val="true"/>
        <sz val="14"/>
        <color rgb="FF000000"/>
        <rFont val="Arial"/>
        <family val="2"/>
        <charset val="1"/>
      </rPr>
      <t xml:space="preserve">(71871) GME ENROBES LA CHAVANNE B/B
</t>
    </r>
    <r>
      <rPr>
        <sz val="14"/>
        <color rgb="FF000000"/>
        <rFont val="Arial"/>
        <family val="2"/>
        <charset val="1"/>
      </rPr>
      <t xml:space="preserve">385 Route de la Peyrouse
73800 LA CHAVANNE
</t>
    </r>
    <r>
      <rPr>
        <b val="true"/>
        <sz val="14"/>
        <color rgb="FFFF0000"/>
        <rFont val="Arial"/>
        <family val="2"/>
        <charset val="1"/>
      </rPr>
      <t xml:space="preserve">
MEME ADRESSE QUE NGE MAIS PAS LA MEME ENTREE (voir protocole)
</t>
    </r>
    <r>
      <rPr>
        <b val="true"/>
        <sz val="14"/>
        <color rgb="FF000000"/>
        <rFont val="Arial"/>
        <family val="2"/>
        <charset val="1"/>
      </rPr>
      <t xml:space="preserve">
1x120 Papier, 1x120 Verre, 1x120 MD</t>
    </r>
  </si>
  <si>
    <t xml:space="preserve">1x120 Papier
1x120 Verre
1x120 MD</t>
  </si>
  <si>
    <r>
      <rPr>
        <b val="true"/>
        <sz val="14"/>
        <color rgb="FF000000"/>
        <rFont val="Arial"/>
        <family val="2"/>
        <charset val="1"/>
      </rPr>
      <t xml:space="preserve">(72293) ELISE 
</t>
    </r>
    <r>
      <rPr>
        <sz val="14"/>
        <color rgb="FF000000"/>
        <rFont val="Arial"/>
        <family val="2"/>
        <charset val="1"/>
      </rPr>
      <t xml:space="preserve">38 Rue commandant Lenoir
38600 FONTAINE
</t>
    </r>
    <r>
      <rPr>
        <b val="true"/>
        <sz val="14"/>
        <color rgb="FFFF0000"/>
        <rFont val="Arial"/>
        <family val="2"/>
        <charset val="1"/>
      </rPr>
      <t xml:space="preserve">UNIQUEMENT DIB, ESSUIS-MAINS ET BIODECHET (MARC DE CAFE)
Peser et remplir l'ODM</t>
    </r>
  </si>
  <si>
    <t xml:space="preserve">DIB
Essuis-mains
Biodéchets</t>
  </si>
  <si>
    <r>
      <rPr>
        <b val="true"/>
        <sz val="14"/>
        <color rgb="FF000000"/>
        <rFont val="Arial"/>
        <family val="2"/>
        <charset val="1"/>
      </rPr>
      <t xml:space="preserve">(80716) BALL ADVANCED ALUMINIUM TECHNOLOGIES (COPAL) </t>
    </r>
    <r>
      <rPr>
        <sz val="14"/>
        <color rgb="FF000000"/>
        <rFont val="Arial"/>
        <family val="2"/>
        <charset val="1"/>
      </rPr>
      <t xml:space="preserve">Route de Marcollin 38270 BEAUREPAIRE  </t>
    </r>
    <r>
      <rPr>
        <b val="true"/>
        <sz val="14"/>
        <color rgb="FF000000"/>
        <rFont val="Arial"/>
        <family val="2"/>
        <charset val="1"/>
      </rPr>
      <t xml:space="preserve">1x770 MD</t>
    </r>
  </si>
  <si>
    <t xml:space="preserve">Gobelets carton
Canettes 
Bouteilles PET</t>
  </si>
  <si>
    <r>
      <rPr>
        <b val="true"/>
        <sz val="14"/>
        <color rgb="FF000000"/>
        <rFont val="Arial"/>
        <family val="2"/>
        <charset val="1"/>
      </rPr>
      <t xml:space="preserve">(24774) MERCK - MILLIPORE </t>
    </r>
    <r>
      <rPr>
        <b val="true"/>
        <sz val="20"/>
        <color rgb="FF1616FA"/>
        <rFont val="Arial"/>
        <family val="2"/>
        <charset val="1"/>
      </rPr>
      <t xml:space="preserve">A/F
</t>
    </r>
    <r>
      <rPr>
        <sz val="14"/>
        <color rgb="FF000000"/>
        <rFont val="Arial"/>
        <family val="2"/>
        <charset val="1"/>
      </rPr>
      <t xml:space="preserve">13 Chemin du Vieux Chêne
38240 Meylan
Thierry Gonthiez
04 58 00 12 49</t>
    </r>
  </si>
  <si>
    <t xml:space="preserve">Collecte en sac
DIB
papier
carton
canettes metal
bouteilles pet
VERRE
deee
Piles
capsules cafe</t>
  </si>
  <si>
    <t xml:space="preserve">Grésivaudan</t>
  </si>
  <si>
    <r>
      <rPr>
        <b val="true"/>
        <sz val="14"/>
        <color rgb="FF000000"/>
        <rFont val="Arial"/>
        <family val="2"/>
        <charset val="1"/>
      </rPr>
      <t xml:space="preserve">(24829) PHARMACIE MARTIN BORRET
</t>
    </r>
    <r>
      <rPr>
        <sz val="14"/>
        <color rgb="FF000000"/>
        <rFont val="Arial"/>
        <family val="2"/>
        <charset val="1"/>
      </rPr>
      <t xml:space="preserve">84 RD 1090
38190 Bernin
</t>
    </r>
    <r>
      <rPr>
        <b val="true"/>
        <sz val="14"/>
        <color rgb="FF000000"/>
        <rFont val="Arial"/>
        <family val="2"/>
        <charset val="1"/>
      </rPr>
      <t xml:space="preserve">360 cartons,770 cartons
</t>
    </r>
  </si>
  <si>
    <r>
      <rPr>
        <b val="true"/>
        <sz val="14"/>
        <color theme="1"/>
        <rFont val="Arial"/>
        <family val="2"/>
        <charset val="1"/>
      </rPr>
      <t xml:space="preserve">(84096) BNP Fontaine Vercors
</t>
    </r>
    <r>
      <rPr>
        <sz val="14"/>
        <color rgb="FF000000"/>
        <rFont val="Arial"/>
        <family val="2"/>
        <charset val="1"/>
      </rPr>
      <t xml:space="preserve">6 boulevard Paul Langevin
38600 FONTAINE
</t>
    </r>
    <r>
      <rPr>
        <b val="true"/>
        <sz val="14"/>
        <color rgb="FF000000"/>
        <rFont val="Arial"/>
        <family val="2"/>
        <charset val="1"/>
      </rPr>
      <t xml:space="preserve">Mardi : 8h30-12h30 / 14h-18h
Mercredi au Vendredi : </t>
    </r>
    <r>
      <rPr>
        <b val="true"/>
        <sz val="14"/>
        <color theme="1"/>
        <rFont val="Arial"/>
        <family val="2"/>
        <charset val="1"/>
      </rPr>
      <t xml:space="preserve">8h30-12h30</t>
    </r>
  </si>
  <si>
    <t xml:space="preserve"> H</t>
  </si>
  <si>
    <r>
      <rPr>
        <b val="true"/>
        <sz val="14"/>
        <color rgb="FFFF0000"/>
        <rFont val="Arial"/>
        <family val="2"/>
        <charset val="1"/>
      </rPr>
      <t xml:space="preserve">DIB
</t>
    </r>
    <r>
      <rPr>
        <sz val="14"/>
        <color theme="1"/>
        <rFont val="Arial"/>
        <family val="2"/>
        <charset val="1"/>
      </rPr>
      <t xml:space="preserve">Papiers
Cartons
Bouteilles PET
Canettes
Emballages en Mélange</t>
    </r>
  </si>
  <si>
    <r>
      <rPr>
        <b val="true"/>
        <sz val="14"/>
        <color rgb="FF000000"/>
        <rFont val="Arial"/>
        <family val="2"/>
        <charset val="1"/>
      </rPr>
      <t xml:space="preserve">(25164) BECT 
</t>
    </r>
    <r>
      <rPr>
        <sz val="14"/>
        <color rgb="FF000000"/>
        <rFont val="Arial"/>
        <family val="2"/>
        <charset val="1"/>
      </rPr>
      <t xml:space="preserve">124 Chemin de Fond Mourand
38270 Marcollin
</t>
    </r>
    <r>
      <rPr>
        <sz val="14"/>
        <color rgb="FFFF0000"/>
        <rFont val="Arial"/>
        <family val="2"/>
        <charset val="1"/>
      </rPr>
      <t xml:space="preserve">Fermeture estivle S33 à S35 ( du 10/08 au 30/08 inclus)</t>
    </r>
  </si>
  <si>
    <r>
      <rPr>
        <b val="true"/>
        <sz val="14"/>
        <color rgb="FF000000"/>
        <rFont val="Arial"/>
        <family val="2"/>
        <charset val="1"/>
      </rPr>
      <t xml:space="preserve">(24825) P2B SOLUTION (MY DSO)  </t>
    </r>
    <r>
      <rPr>
        <b val="true"/>
        <sz val="20"/>
        <color rgb="FF1616FA"/>
        <rFont val="Arial"/>
        <family val="2"/>
        <charset val="1"/>
      </rPr>
      <t xml:space="preserve">C/F
</t>
    </r>
    <r>
      <rPr>
        <sz val="14"/>
        <color rgb="FF000000"/>
        <rFont val="Arial"/>
        <family val="2"/>
        <charset val="1"/>
      </rPr>
      <t xml:space="preserve">22 Chemin du Vieux Chêne
38240 Meylan
</t>
    </r>
    <r>
      <rPr>
        <b val="true"/>
        <sz val="14"/>
        <color rgb="FF000000"/>
        <rFont val="Arial"/>
        <family val="2"/>
        <charset val="1"/>
      </rPr>
      <t xml:space="preserve">BATIMENT D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154 506 et ENTRER
1er étage
</t>
    </r>
    <r>
      <rPr>
        <b val="true"/>
        <sz val="14"/>
        <rFont val="Arial"/>
        <family val="2"/>
        <charset val="1"/>
      </rPr>
      <t xml:space="preserve">
Sacs</t>
    </r>
  </si>
  <si>
    <t xml:space="preserve">Papiers
Cartons
Canettes
Bouteilles plastique
</t>
  </si>
  <si>
    <t xml:space="preserve">Montbonnot</t>
  </si>
  <si>
    <r>
      <rPr>
        <b val="true"/>
        <sz val="14"/>
        <color rgb="FF000000"/>
        <rFont val="Arial"/>
        <family val="2"/>
        <charset val="1"/>
      </rPr>
      <t xml:space="preserve">(24753) LEXAN AVOCATS
</t>
    </r>
    <r>
      <rPr>
        <sz val="14"/>
        <color rgb="FF000000"/>
        <rFont val="Arial"/>
        <family val="2"/>
        <charset val="1"/>
      </rPr>
      <t xml:space="preserve">55 rue Blaise Pascal
38330 Montbonnot Saint Martin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Si changement de date : prévenir :
Christelle SANSONETTI l Lexan Avocats
Tel. : 04.76.619.800 - Fax : 09.70.627.407
secretariat@lexan-avocats.fr 
</t>
    </r>
    <r>
      <rPr>
        <b val="true"/>
        <sz val="14"/>
        <color rgb="FF000000"/>
        <rFont val="Arial"/>
        <family val="2"/>
        <charset val="1"/>
      </rPr>
      <t xml:space="preserve">360 Sécu
Pas de destruction</t>
    </r>
  </si>
  <si>
    <t xml:space="preserve">Papiers 
Cartons</t>
  </si>
  <si>
    <r>
      <rPr>
        <b val="true"/>
        <sz val="14"/>
        <color rgb="FF000000"/>
        <rFont val="Arial"/>
        <family val="2"/>
        <charset val="1"/>
      </rPr>
      <t xml:space="preserve">(25228) ESPACS AUTOMATISME HAUTERIVES                              
</t>
    </r>
    <r>
      <rPr>
        <sz val="14"/>
        <color rgb="FF000000"/>
        <rFont val="Arial"/>
        <family val="2"/>
        <charset val="1"/>
      </rPr>
      <t xml:space="preserve">1380 Route de la Vallée
ZA les Gonnets    
26390 Hauterives	
Lundi - Vendredi : 8h00 - 12h00 / 14h00 - 18h00
07 60 85 50 71</t>
    </r>
  </si>
  <si>
    <r>
      <rPr>
        <b val="true"/>
        <sz val="14"/>
        <color rgb="FF000000"/>
        <rFont val="Arial"/>
        <family val="2"/>
        <charset val="1"/>
      </rPr>
      <t xml:space="preserve">(27972) KOELIS</t>
    </r>
    <r>
      <rPr>
        <b val="true"/>
        <sz val="20"/>
        <color rgb="FF1616FA"/>
        <rFont val="Arial"/>
        <family val="2"/>
        <charset val="1"/>
      </rPr>
      <t xml:space="preserve"> D/F
</t>
    </r>
    <r>
      <rPr>
        <sz val="14"/>
        <color rgb="FF000000"/>
        <rFont val="Arial"/>
        <family val="2"/>
        <charset val="1"/>
      </rPr>
      <t xml:space="preserve">22 CHEMIN DU VIEUX CHENE
38240 Meylan
</t>
    </r>
    <r>
      <rPr>
        <b val="true"/>
        <sz val="14"/>
        <color rgb="FF000000"/>
        <rFont val="Arial"/>
        <family val="2"/>
        <charset val="1"/>
      </rPr>
      <t xml:space="preserve">BATIMENT D - RDC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7030A0"/>
        <rFont val="Arial"/>
        <family val="2"/>
        <charset val="1"/>
      </rPr>
      <t xml:space="preserve">ENVOYER BON DE PASSAGE PAR MAIL : david.drevot@keolis.com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PROTOCOLE DE COLLECTE OBLIGATOIRE 
154 506 et ENTRER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Collecte en sac 5 maximum</t>
    </r>
  </si>
  <si>
    <t xml:space="preserve">Papier
boutielle pet
Canette
Verre</t>
  </si>
  <si>
    <r>
      <rPr>
        <b val="true"/>
        <sz val="14"/>
        <color rgb="FF000000"/>
        <rFont val="Arial"/>
        <family val="2"/>
        <charset val="1"/>
      </rPr>
      <t xml:space="preserve">(24778) METROLOGIC
</t>
    </r>
    <r>
      <rPr>
        <sz val="14"/>
        <color rgb="FF000000"/>
        <rFont val="Arial"/>
        <family val="2"/>
        <charset val="1"/>
      </rPr>
      <t xml:space="preserve">26 Avenue Jean Kurtzman
38330 MONTBONNOT-SAINT-MARTIN
</t>
    </r>
    <r>
      <rPr>
        <b val="true"/>
        <sz val="14"/>
        <rFont val="Arial"/>
        <family val="2"/>
        <charset val="1"/>
      </rPr>
      <t xml:space="preserve">1x240 Papiers + 1x770 MD +</t>
    </r>
    <r>
      <rPr>
        <b val="true"/>
        <u val="single"/>
        <sz val="14"/>
        <color rgb="FFFF0000"/>
        <rFont val="Arial"/>
        <family val="2"/>
        <charset val="1"/>
      </rPr>
      <t xml:space="preserve">1x770 MD qui appartient au client</t>
    </r>
  </si>
  <si>
    <t xml:space="preserve">PONCTUEL :
LIVRAISON 1 CARTON DE ROULEAUX DE SACS 110L </t>
  </si>
  <si>
    <t xml:space="preserve">Papiers
Canettes
Bouteilles plastique
Verres
Capsules café
Piles (ALD)
Cartouches d'encre (ALD)</t>
  </si>
  <si>
    <r>
      <rPr>
        <b val="true"/>
        <sz val="14"/>
        <color rgb="FF000000"/>
        <rFont val="Arial"/>
        <family val="2"/>
        <charset val="1"/>
      </rPr>
      <t xml:space="preserve">(25229) ESPACS CHATEAUNEUF              
</t>
    </r>
    <r>
      <rPr>
        <sz val="14"/>
        <color rgb="FF000000"/>
        <rFont val="Arial"/>
        <family val="2"/>
        <charset val="1"/>
      </rPr>
      <t xml:space="preserve">15 Avenue Joseph Chorier
26330 Chateauneuf de Galaure            
Lundi - Vendredi : 8h00 - 12h00 / 14h00 - 18h00</t>
    </r>
  </si>
  <si>
    <r>
      <rPr>
        <b val="true"/>
        <sz val="14"/>
        <color rgb="FF000000"/>
        <rFont val="Arial"/>
        <family val="2"/>
        <charset val="1"/>
      </rPr>
      <t xml:space="preserve">(41106) Artecom - GROUP ARTEA</t>
    </r>
    <r>
      <rPr>
        <b val="true"/>
        <sz val="20"/>
        <color rgb="FF1616FA"/>
        <rFont val="Arial"/>
        <family val="2"/>
        <charset val="1"/>
      </rPr>
      <t xml:space="preserve"> E/F</t>
    </r>
    <r>
      <rPr>
        <sz val="14"/>
        <color rgb="FF000000"/>
        <rFont val="Arial"/>
        <family val="2"/>
        <charset val="1"/>
      </rPr>
      <t xml:space="preserve"> </t>
    </r>
    <r>
      <rPr>
        <b val="true"/>
        <sz val="14"/>
        <color rgb="FF000000"/>
        <rFont val="Arial"/>
        <family val="2"/>
        <charset val="1"/>
      </rPr>
      <t xml:space="preserve">Bâtiment E </t>
    </r>
    <r>
      <rPr>
        <sz val="14"/>
        <color rgb="FF000000"/>
        <rFont val="Arial"/>
        <family val="2"/>
        <charset val="1"/>
      </rPr>
      <t xml:space="preserve"> 22 chemin du vieux chene  38240 Meylan  </t>
    </r>
    <r>
      <rPr>
        <b val="true"/>
        <sz val="14"/>
        <color rgb="FF000000"/>
        <rFont val="Arial"/>
        <family val="2"/>
        <charset val="1"/>
      </rPr>
      <t xml:space="preserve">6 sacs</t>
    </r>
  </si>
  <si>
    <t xml:space="preserve">papier</t>
  </si>
  <si>
    <t xml:space="preserve">
Echirolles</t>
  </si>
  <si>
    <r>
      <rPr>
        <b val="true"/>
        <sz val="14"/>
        <color rgb="FF000000"/>
        <rFont val="Arial"/>
        <family val="2"/>
        <charset val="1"/>
      </rPr>
      <t xml:space="preserve">(24788) MSA Echirolles</t>
    </r>
    <r>
      <rPr>
        <b val="true"/>
        <sz val="22"/>
        <color rgb="FF00B050"/>
        <rFont val="Arial"/>
        <family val="2"/>
        <charset val="1"/>
      </rPr>
      <t xml:space="preserve"> 
</t>
    </r>
    <r>
      <rPr>
        <sz val="14"/>
        <color rgb="FF000000"/>
        <rFont val="Arial"/>
        <family val="2"/>
        <charset val="1"/>
      </rPr>
      <t xml:space="preserve">17 bis avenue du 8 mai 1945
38130 Echirolles
</t>
    </r>
    <r>
      <rPr>
        <b val="true"/>
        <sz val="18"/>
        <color rgb="FFFF0000"/>
        <rFont val="Arial"/>
        <family val="2"/>
        <charset val="1"/>
      </rPr>
      <t xml:space="preserve">BADGE pour local poubelles
UNIQUEMENT LES MARDI ET JEUDI</t>
    </r>
  </si>
  <si>
    <r>
      <rPr>
        <b val="true"/>
        <sz val="14"/>
        <color rgb="FF000000"/>
        <rFont val="Arial"/>
        <family val="2"/>
        <charset val="1"/>
      </rPr>
      <t xml:space="preserve">(78919) Siemens Electronic Design Automation</t>
    </r>
    <r>
      <rPr>
        <b val="true"/>
        <sz val="20"/>
        <color rgb="FF1616FA"/>
        <rFont val="Arial"/>
        <family val="2"/>
        <charset val="1"/>
      </rPr>
      <t xml:space="preserve"> F/F
</t>
    </r>
    <r>
      <rPr>
        <b val="true"/>
        <sz val="14"/>
        <rFont val="Arial"/>
        <family val="2"/>
        <charset val="1"/>
      </rPr>
      <t xml:space="preserve">Batiment le coloft Bâtiment C
</t>
    </r>
    <r>
      <rPr>
        <sz val="14"/>
        <rFont val="Arial"/>
        <family val="2"/>
        <charset val="1"/>
      </rPr>
      <t xml:space="preserve">22 chemin du vieux chêne 
382401 MEYLAN </t>
    </r>
  </si>
  <si>
    <t xml:space="preserve">Papier
Canette
BP
Verre et piles ALD</t>
  </si>
  <si>
    <r>
      <rPr>
        <b val="true"/>
        <sz val="14"/>
        <color theme="1"/>
        <rFont val="Arial"/>
        <family val="2"/>
        <charset val="1"/>
      </rPr>
      <t xml:space="preserve">(84255) BNP Meylan
</t>
    </r>
    <r>
      <rPr>
        <sz val="14"/>
        <color rgb="FF000000"/>
        <rFont val="Arial"/>
        <family val="2"/>
        <charset val="1"/>
      </rPr>
      <t xml:space="preserve">19 Avenue de la Plaine Fleurie
38240 MEYLAN
</t>
    </r>
    <r>
      <rPr>
        <b val="true"/>
        <sz val="14"/>
        <color theme="1"/>
        <rFont val="Arial"/>
        <family val="2"/>
        <charset val="1"/>
      </rPr>
      <t xml:space="preserve">
Mardi au Vendredi : 9h30-12h30 / 13h30-18h</t>
    </r>
  </si>
  <si>
    <r>
      <rPr>
        <b val="true"/>
        <sz val="14"/>
        <color theme="1"/>
        <rFont val="Arial"/>
        <family val="2"/>
        <charset val="1"/>
      </rPr>
      <t xml:space="preserve">(84051) BNP Crolles
</t>
    </r>
    <r>
      <rPr>
        <sz val="14"/>
        <color rgb="FF000000"/>
        <rFont val="Arial"/>
        <family val="2"/>
        <charset val="1"/>
      </rPr>
      <t xml:space="preserve">480 Rue des Sources
38920 CROLLES
</t>
    </r>
    <r>
      <rPr>
        <b val="true"/>
        <sz val="14"/>
        <color theme="1"/>
        <rFont val="Arial"/>
        <family val="2"/>
        <charset val="1"/>
      </rPr>
      <t xml:space="preserve">
Mardi et Vendredi : 9h30-12h30 / 13h30-18h
Mercredi et Jeudi : </t>
    </r>
    <r>
      <rPr>
        <b val="true"/>
        <sz val="14"/>
        <color rgb="FFFF0000"/>
        <rFont val="Arial"/>
        <family val="2"/>
        <charset val="1"/>
      </rPr>
      <t xml:space="preserve">9h30-12h30</t>
    </r>
  </si>
  <si>
    <r>
      <rPr>
        <b val="true"/>
        <sz val="14"/>
        <color theme="1"/>
        <rFont val="Arial"/>
        <family val="2"/>
        <charset val="1"/>
      </rPr>
      <t xml:space="preserve">(84405) BNP Saint-Ismier
</t>
    </r>
    <r>
      <rPr>
        <sz val="14"/>
        <color rgb="FF000000"/>
        <rFont val="Arial"/>
        <family val="2"/>
        <charset val="1"/>
      </rPr>
      <t xml:space="preserve">Chemin du Rivet
67 Route du Rivet
38330 SAINT ISMIER
</t>
    </r>
    <r>
      <rPr>
        <b val="true"/>
        <sz val="14"/>
        <color theme="1"/>
        <rFont val="Arial"/>
        <family val="2"/>
        <charset val="1"/>
      </rPr>
      <t xml:space="preserve">
Mardi au Vendredi : 9h30-12h30 / 13h30-18h</t>
    </r>
  </si>
  <si>
    <r>
      <rPr>
        <b val="true"/>
        <sz val="14"/>
        <color theme="1"/>
        <rFont val="Arial"/>
        <family val="2"/>
        <charset val="1"/>
      </rPr>
      <t xml:space="preserve">(83985) BNP CAF Arc Alpin
</t>
    </r>
    <r>
      <rPr>
        <sz val="14"/>
        <color rgb="FF000000"/>
        <rFont val="Arial"/>
        <family val="2"/>
        <charset val="1"/>
      </rPr>
      <t xml:space="preserve">60 Rue Lavoisier - ZIRST
38330 MONTBONNOT SAINT MARTIN
</t>
    </r>
    <r>
      <rPr>
        <b val="true"/>
        <sz val="14"/>
        <color rgb="FF000000"/>
        <rFont val="Arial"/>
        <family val="2"/>
        <charset val="1"/>
      </rPr>
      <t xml:space="preserve">Lundi au Vendredi : 9h-12h / 14h-17h</t>
    </r>
  </si>
  <si>
    <t xml:space="preserve">SMH</t>
  </si>
  <si>
    <r>
      <rPr>
        <b val="true"/>
        <sz val="14"/>
        <color theme="1"/>
        <rFont val="Arial"/>
        <family val="2"/>
        <charset val="1"/>
      </rPr>
      <t xml:space="preserve">(84416) BNP Saint-Martin-d'Hères
</t>
    </r>
    <r>
      <rPr>
        <sz val="14"/>
        <color rgb="FF000000"/>
        <rFont val="Arial"/>
        <family val="2"/>
        <charset val="1"/>
      </rPr>
      <t xml:space="preserve">140 Avenue Gabriel Péri
38400 SAINT MARTIN D'HERES
</t>
    </r>
    <r>
      <rPr>
        <b val="true"/>
        <sz val="14"/>
        <color theme="1"/>
        <rFont val="Arial"/>
        <family val="2"/>
        <charset val="1"/>
      </rPr>
      <t xml:space="preserve">
Mardi et Vendredi : 9h30-12h30 / 13h30-18h
Mercredi et Jeudi :</t>
    </r>
    <r>
      <rPr>
        <b val="true"/>
        <sz val="14"/>
        <color rgb="FFFF0000"/>
        <rFont val="Arial"/>
        <family val="2"/>
        <charset val="1"/>
      </rPr>
      <t xml:space="preserve"> 9h30-12h30</t>
    </r>
  </si>
  <si>
    <t xml:space="preserve"> 2S</t>
  </si>
  <si>
    <r>
      <rPr>
        <b val="true"/>
        <sz val="14"/>
        <color rgb="FF000000"/>
        <rFont val="Arial"/>
        <family val="2"/>
        <charset val="1"/>
      </rPr>
      <t xml:space="preserve">(62541) AGIR A DOM La Tronche
</t>
    </r>
    <r>
      <rPr>
        <sz val="14"/>
        <color rgb="FF000000"/>
        <rFont val="Arial"/>
        <family val="2"/>
        <charset val="1"/>
      </rPr>
      <t xml:space="preserve">7 Boulevard de la Chantourne
38700 LA TRONCHE
</t>
    </r>
    <r>
      <rPr>
        <b val="true"/>
        <sz val="14"/>
        <color rgb="FF000000"/>
        <rFont val="Arial"/>
        <family val="2"/>
        <charset val="1"/>
      </rPr>
      <t xml:space="preserve">1x360 Sécu papier</t>
    </r>
  </si>
  <si>
    <t xml:space="preserve">Papiers
Mégôts (ALD)</t>
  </si>
  <si>
    <r>
      <rPr>
        <b val="true"/>
        <sz val="14"/>
        <color rgb="FF000000"/>
        <rFont val="Arial"/>
        <family val="2"/>
        <charset val="1"/>
      </rPr>
      <t xml:space="preserve">(10641) POINT P Bresson  </t>
    </r>
    <r>
      <rPr>
        <sz val="14"/>
        <color rgb="FF000000"/>
        <rFont val="Arial"/>
        <family val="2"/>
        <charset val="1"/>
      </rPr>
      <t xml:space="preserve">123 Av. de la République 38320 Bresson</t>
    </r>
    <r>
      <rPr>
        <b val="true"/>
        <sz val="14"/>
        <color rgb="FF000000"/>
        <rFont val="Arial"/>
        <family val="2"/>
        <charset val="1"/>
      </rPr>
      <t xml:space="preserve">  </t>
    </r>
    <r>
      <rPr>
        <sz val="14"/>
        <color rgb="FF000000"/>
        <rFont val="Arial"/>
        <family val="2"/>
        <charset val="1"/>
      </rPr>
      <t xml:space="preserve">  07:00–12:00, 13:30–17:00
</t>
    </r>
    <r>
      <rPr>
        <b val="true"/>
        <sz val="14"/>
        <color rgb="FF000000"/>
        <rFont val="Arial"/>
        <family val="2"/>
        <charset val="1"/>
      </rPr>
      <t xml:space="preserve">
1x360 Papiers + 1x770 MD</t>
    </r>
  </si>
  <si>
    <t xml:space="preserve">Papiers
Gobelets carton
Canettes
Bouteilles, plastique
Lampes
Masques</t>
  </si>
  <si>
    <t xml:space="preserve">SMV / Grenoble / Montbonnot</t>
  </si>
  <si>
    <t xml:space="preserve">Mohamed</t>
  </si>
  <si>
    <t xml:space="preserve">Tournée sacs</t>
  </si>
  <si>
    <t xml:space="preserve">Franck</t>
  </si>
  <si>
    <t xml:space="preserve">Pont de claix / EDF SMV</t>
  </si>
  <si>
    <t xml:space="preserve">Electrique 17</t>
  </si>
  <si>
    <t xml:space="preserve">Camion 6</t>
  </si>
  <si>
    <t xml:space="preserve">Saint Martin le Vinoux </t>
  </si>
  <si>
    <r>
      <rPr>
        <b val="true"/>
        <sz val="14"/>
        <color rgb="FF000000"/>
        <rFont val="Arial"/>
        <family val="2"/>
        <charset val="1"/>
      </rPr>
      <t xml:space="preserve">(24623) CIH EDF Pôle Hydraulique
</t>
    </r>
    <r>
      <rPr>
        <sz val="14"/>
        <color rgb="FF000000"/>
        <rFont val="Arial"/>
        <family val="2"/>
        <charset val="1"/>
      </rPr>
      <t xml:space="preserve">38950 St Martin le Vinoux
</t>
    </r>
    <r>
      <rPr>
        <b val="true"/>
        <sz val="14"/>
        <color rgb="FFFF0000"/>
        <rFont val="Arial"/>
        <family val="2"/>
        <charset val="1"/>
      </rPr>
      <t xml:space="preserve">BADGE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3X770 Papiers/Cartons + 3X770 MD + 3X770 DIB</t>
    </r>
  </si>
  <si>
    <t xml:space="preserve">2xS</t>
  </si>
  <si>
    <t xml:space="preserve">Papiers
Cartons
Gobelets carton
Canettes
Bouteilles plastique
Verres 
Masques
Palettes
DIB</t>
  </si>
  <si>
    <r>
      <rPr>
        <b val="true"/>
        <sz val="14"/>
        <color rgb="FF000000"/>
        <rFont val="Arial"/>
        <family val="2"/>
        <charset val="1"/>
      </rPr>
      <t xml:space="preserve">(77179) CABINET DENTAIRE DE GRENOBLE
</t>
    </r>
    <r>
      <rPr>
        <sz val="14"/>
        <color rgb="FF000000"/>
        <rFont val="Arial"/>
        <family val="2"/>
        <charset val="1"/>
      </rPr>
      <t xml:space="preserve">4 Rue Gééral Ferrié
38000 GRENOBLE
8h-18h30
</t>
    </r>
    <r>
      <rPr>
        <b val="true"/>
        <sz val="14"/>
        <color rgb="FF000000"/>
        <rFont val="Arial"/>
        <family val="2"/>
        <charset val="1"/>
      </rPr>
      <t xml:space="preserve">1 Demi-lune confidentielle</t>
    </r>
    <r>
      <rPr>
        <b val="true"/>
        <sz val="14"/>
        <color rgb="FFFF0000"/>
        <rFont val="Arial"/>
        <family val="2"/>
        <charset val="1"/>
      </rPr>
      <t xml:space="preserve"> (sac bleu)</t>
    </r>
  </si>
  <si>
    <r>
      <rPr>
        <b val="true"/>
        <sz val="14"/>
        <color rgb="FF000000"/>
        <rFont val="Arial"/>
        <family val="2"/>
        <charset val="1"/>
      </rPr>
      <t xml:space="preserve">(24623) CIH EDF Pôle Hydraulique
</t>
    </r>
    <r>
      <rPr>
        <sz val="14"/>
        <color rgb="FF000000"/>
        <rFont val="Arial"/>
        <family val="2"/>
        <charset val="1"/>
      </rPr>
      <t xml:space="preserve">38950 St Martin le Vinoux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BADGE
</t>
    </r>
    <r>
      <rPr>
        <b val="true"/>
        <sz val="14"/>
        <color rgb="FF000000"/>
        <rFont val="Arial"/>
        <family val="2"/>
        <charset val="1"/>
      </rPr>
      <t xml:space="preserve">
3X770 Papiers/Cartons,3X770 MD,3X77 0DIB
</t>
    </r>
  </si>
  <si>
    <t xml:space="preserve">Papiers
Cartons
Gobelets carton
Canettes
Bouteilles plastique
Verres 
Masques
Palettes</t>
  </si>
  <si>
    <t xml:space="preserve">SAISONS</t>
  </si>
  <si>
    <r>
      <rPr>
        <b val="true"/>
        <sz val="14"/>
        <color rgb="FF000000"/>
        <rFont val="Arial"/>
        <family val="2"/>
        <charset val="1"/>
      </rPr>
      <t xml:space="preserve">(26585) MMV ALPE D'HUEZ BERGERS
</t>
    </r>
    <r>
      <rPr>
        <sz val="14"/>
        <color rgb="FF000000"/>
        <rFont val="Arial"/>
        <family val="2"/>
        <charset val="1"/>
      </rPr>
      <t xml:space="preserve">VILLAGE CLUB LES BERGERS - ZAC LES
BERGERS
38750 ALPES D'HUEZ
</t>
    </r>
    <r>
      <rPr>
        <b val="true"/>
        <sz val="14"/>
        <color rgb="FFFF0000"/>
        <rFont val="Arial"/>
        <family val="2"/>
        <charset val="1"/>
      </rPr>
      <t xml:space="preserve">Du 28/06/26 au 29/08/26</t>
    </r>
  </si>
  <si>
    <r>
      <rPr>
        <b val="true"/>
        <sz val="14"/>
        <color rgb="FF000000"/>
        <rFont val="Arial"/>
        <family val="2"/>
        <charset val="1"/>
      </rPr>
      <t xml:space="preserve">(24622) CIH EDF FORMATION
</t>
    </r>
    <r>
      <rPr>
        <sz val="14"/>
        <color rgb="FF000000"/>
        <rFont val="Arial"/>
        <family val="2"/>
        <charset val="1"/>
      </rPr>
      <t xml:space="preserve">38950 St Martin le Vinoux
</t>
    </r>
    <r>
      <rPr>
        <b val="true"/>
        <sz val="14"/>
        <color rgb="FFFF0000"/>
        <rFont val="Arial"/>
        <family val="2"/>
        <charset val="1"/>
      </rPr>
      <t xml:space="preserve">BADGE
</t>
    </r>
    <r>
      <rPr>
        <b val="true"/>
        <sz val="14"/>
        <color rgb="FF000000"/>
        <rFont val="Arial"/>
        <family val="2"/>
        <charset val="1"/>
      </rPr>
      <t xml:space="preserve">
1 X 770 Papier
1 X 770 multi déchets 
1 Bioseau 20L verre 
</t>
    </r>
    <r>
      <rPr>
        <b val="true"/>
        <sz val="14"/>
        <color rgb="FFFF0000"/>
        <rFont val="Arial"/>
        <family val="2"/>
        <charset val="1"/>
      </rPr>
      <t xml:space="preserve">Livrer des bacs avec affichage correct</t>
    </r>
  </si>
  <si>
    <r>
      <rPr>
        <b val="true"/>
        <sz val="14"/>
        <color rgb="FF000000"/>
        <rFont val="Arial"/>
        <family val="2"/>
        <charset val="1"/>
      </rPr>
      <t xml:space="preserve">(24663) EUROFINS LABAZUR Libération Grenoble
</t>
    </r>
    <r>
      <rPr>
        <sz val="14"/>
        <color rgb="FF000000"/>
        <rFont val="Arial"/>
        <family val="2"/>
        <charset val="1"/>
      </rPr>
      <t xml:space="preserve">28 Cr de la Libération et du Général de Gaulle
38100 Grenoble
lundi-vendredi      07:00–12:30, 14:00–18:00
</t>
    </r>
    <r>
      <rPr>
        <sz val="14"/>
        <color rgb="FFFF0000"/>
        <rFont val="Arial"/>
        <family val="2"/>
        <charset val="1"/>
      </rPr>
      <t xml:space="preserve">Noter le nombre de corbeilles pour la facturation
</t>
    </r>
  </si>
  <si>
    <t xml:space="preserve">Pont de Claix</t>
  </si>
  <si>
    <r>
      <rPr>
        <b val="true"/>
        <sz val="14"/>
        <color rgb="FF000000"/>
        <rFont val="Arial"/>
        <family val="2"/>
        <charset val="1"/>
      </rPr>
      <t xml:space="preserve">(48104) MAAF-LE PONT DE CLAIX 
</t>
    </r>
    <r>
      <rPr>
        <sz val="14"/>
        <color rgb="FF000000"/>
        <rFont val="Arial"/>
        <family val="2"/>
        <charset val="1"/>
      </rPr>
      <t xml:space="preserve">22  Cours Saint André 
38800 LE PONT DE CLAIX 
0645458915 
Lundi au vendredi 9h 12h  12h 13h30 17h30 
</t>
    </r>
    <r>
      <rPr>
        <b val="true"/>
        <sz val="14"/>
        <color rgb="FF000000"/>
        <rFont val="Arial"/>
        <family val="2"/>
        <charset val="1"/>
      </rPr>
      <t xml:space="preserve">Collecte à la corbeille</t>
    </r>
  </si>
  <si>
    <t xml:space="preserve">Papier
Canette
Bouteille pet
Verre</t>
  </si>
  <si>
    <t xml:space="preserve">OISANS</t>
  </si>
  <si>
    <r>
      <rPr>
        <b val="true"/>
        <sz val="14"/>
        <color theme="1"/>
        <rFont val="Arial"/>
        <family val="2"/>
        <charset val="1"/>
      </rPr>
      <t xml:space="preserve">(84505) BNP Vizille
</t>
    </r>
    <r>
      <rPr>
        <sz val="14"/>
        <color rgb="FF000000"/>
        <rFont val="Arial"/>
        <family val="2"/>
        <charset val="1"/>
      </rPr>
      <t xml:space="preserve">1 Place de la Libération
38220 VIZILLE
</t>
    </r>
    <r>
      <rPr>
        <b val="true"/>
        <sz val="14"/>
        <color theme="1"/>
        <rFont val="Arial"/>
        <family val="2"/>
        <charset val="1"/>
      </rPr>
      <t xml:space="preserve">
Mardi ET Vendredi : 8h30-12h30 / 14h-17h30
</t>
    </r>
    <r>
      <rPr>
        <b val="true"/>
        <sz val="14"/>
        <color rgb="FFFF0000"/>
        <rFont val="Arial"/>
        <family val="2"/>
        <charset val="1"/>
      </rPr>
      <t xml:space="preserve">Mercredi ET Jeudi : 8h30-12h30</t>
    </r>
  </si>
  <si>
    <t xml:space="preserve">Eybens</t>
  </si>
  <si>
    <r>
      <rPr>
        <b val="true"/>
        <sz val="14"/>
        <color theme="1"/>
        <rFont val="Aptos Narrow"/>
        <family val="2"/>
        <charset val="1"/>
      </rPr>
      <t xml:space="preserve">(64863) CCIAG - SITE VLN 
</t>
    </r>
    <r>
      <rPr>
        <sz val="14"/>
        <color theme="1"/>
        <rFont val="Aptos Narrow"/>
        <family val="2"/>
        <charset val="1"/>
      </rPr>
      <t xml:space="preserve">8 Rue le corbusier
 38320 EYBENS</t>
    </r>
  </si>
  <si>
    <t xml:space="preserve">Sacs verre</t>
  </si>
  <si>
    <r>
      <rPr>
        <b val="true"/>
        <sz val="14"/>
        <color rgb="FF000000"/>
        <rFont val="Arial"/>
        <family val="2"/>
        <charset val="1"/>
      </rPr>
      <t xml:space="preserve">(8689) LCL Ile Verte
</t>
    </r>
    <r>
      <rPr>
        <sz val="14"/>
        <color rgb="FF000000"/>
        <rFont val="Arial"/>
        <family val="2"/>
        <charset val="1"/>
      </rPr>
      <t xml:space="preserve">26 Av. Maréchal Randon
38000 Grenoble
lundi           Fermé
mardi -vendredi        08:30–12:00, 13:30–17:45
jeudi         08:30–12:00, 14:30–17:45
On les prend lorsqu'ils sont à plat et donc manipulables.
On les laisse s'il sont en vrac et non pliés!</t>
    </r>
  </si>
  <si>
    <r>
      <rPr>
        <b val="true"/>
        <sz val="14"/>
        <color rgb="FF000000"/>
        <rFont val="Arial"/>
        <family val="2"/>
        <charset val="1"/>
      </rPr>
      <t xml:space="preserve">(24872) SERVICE TECHNIQUE ET URBANISME
</t>
    </r>
    <r>
      <rPr>
        <sz val="14"/>
        <color rgb="FF000000"/>
        <rFont val="Arial"/>
        <family val="2"/>
        <charset val="1"/>
      </rPr>
      <t xml:space="preserve">43 Avenue Maquis de l'Oisans
38800 Le Pont de Claix
</t>
    </r>
    <r>
      <rPr>
        <sz val="14"/>
        <color rgb="FFFF0000"/>
        <rFont val="Arial"/>
        <family val="2"/>
        <charset val="1"/>
      </rPr>
      <t xml:space="preserve">Coordonnées GPS 45.119463, 5.701846
</t>
    </r>
    <r>
      <rPr>
        <b val="true"/>
        <sz val="14"/>
        <color theme="1"/>
        <rFont val="Arial"/>
        <family val="2"/>
        <charset val="1"/>
      </rPr>
      <t xml:space="preserve">1x360 Papiers/cartons</t>
    </r>
    <r>
      <rPr>
        <b val="true"/>
        <sz val="14"/>
        <color rgb="FFFF0000"/>
        <rFont val="Arial"/>
        <family val="2"/>
        <charset val="1"/>
      </rPr>
      <t xml:space="preserve">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</si>
  <si>
    <t xml:space="preserve">LIVRER 1 CARTON DE SACS 110L TRANSLUCIDES</t>
  </si>
  <si>
    <t xml:space="preserve">Papiers
Cartons
</t>
  </si>
  <si>
    <r>
      <rPr>
        <b val="true"/>
        <sz val="14"/>
        <color rgb="FF000000"/>
        <rFont val="Arial"/>
        <family val="2"/>
        <charset val="1"/>
      </rPr>
      <t xml:space="preserve">(73254) BPI FRANCE GRENOBLE
</t>
    </r>
    <r>
      <rPr>
        <sz val="14"/>
        <color rgb="FF000000"/>
        <rFont val="Arial"/>
        <family val="2"/>
        <charset val="1"/>
      </rPr>
      <t xml:space="preserve">15 Rue de Belgrade
38024 GRENOBLE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2 Bioseaux 20L</t>
    </r>
  </si>
  <si>
    <t xml:space="preserve">Bio-déchets
2 x BIOSEAUX 20L</t>
  </si>
  <si>
    <t xml:space="preserve">ODM a dupliquer</t>
  </si>
  <si>
    <r>
      <rPr>
        <b val="true"/>
        <sz val="14"/>
        <color rgb="FF000000"/>
        <rFont val="Arial"/>
        <family val="2"/>
        <charset val="1"/>
      </rPr>
      <t xml:space="preserve">(49134) VERKOR C/C
</t>
    </r>
    <r>
      <rPr>
        <sz val="14"/>
        <color rgb="FF000000"/>
        <rFont val="Arial"/>
        <family val="2"/>
        <charset val="1"/>
      </rPr>
      <t xml:space="preserve">Rue Henri Tarze
38000 GRENOBLE
9h-17h
</t>
    </r>
    <r>
      <rPr>
        <b val="true"/>
        <sz val="14"/>
        <color rgb="FF000000"/>
        <rFont val="Arial"/>
        <family val="2"/>
        <charset val="1"/>
      </rPr>
      <t xml:space="preserve">2X360L papier
</t>
    </r>
    <r>
      <rPr>
        <b val="true"/>
        <sz val="14"/>
        <color rgb="FFFF0000"/>
        <rFont val="Arial"/>
        <family val="2"/>
        <charset val="1"/>
      </rPr>
      <t xml:space="preserve">SIGNATURE DU BON OBLIGATOIRE PAR MAYA (BATIMENT B3)</t>
    </r>
  </si>
  <si>
    <t xml:space="preserve">PONCTUEL :
LIVRAISON 5 BATTRIBOX</t>
  </si>
  <si>
    <t xml:space="preserve">DIB
carton
VERRE
papier
poids cartouches d'encre
Ampoules
piles
Ampoules</t>
  </si>
  <si>
    <r>
      <rPr>
        <b val="true"/>
        <sz val="14"/>
        <color rgb="FF000000"/>
        <rFont val="Arial"/>
        <family val="2"/>
        <charset val="1"/>
      </rPr>
      <t xml:space="preserve">(8397) CERA Vallier Grenoble
</t>
    </r>
    <r>
      <rPr>
        <strike val="true"/>
        <sz val="14"/>
        <color rgb="FF000000"/>
        <rFont val="Arial"/>
        <family val="2"/>
        <charset val="1"/>
      </rPr>
      <t xml:space="preserve">35 Bd Joseph Vallier
38100 Grenoble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u val="single"/>
        <sz val="14"/>
        <color rgb="FFFF0000"/>
        <rFont val="Arial"/>
        <family val="2"/>
        <charset val="1"/>
      </rPr>
      <t xml:space="preserve">Du 02/03/26 au 22/09/26</t>
    </r>
    <r>
      <rPr>
        <b val="true"/>
        <sz val="14"/>
        <color rgb="FFFF0000"/>
        <rFont val="Arial"/>
        <family val="2"/>
        <charset val="1"/>
      </rPr>
      <t xml:space="preserve"> : Agence provisoire au 34 Rue Gustave Eiffel 38000 GRENOBLE
</t>
    </r>
    <r>
      <rPr>
        <sz val="14"/>
        <color rgb="FF000000"/>
        <rFont val="Arial"/>
        <family val="2"/>
        <charset val="1"/>
      </rPr>
      <t xml:space="preserve">
lundi        Fermé
mardi-vendredi       09:15–12:30, 13:30–18:00
Sacs dans Aquilux, cartons</t>
    </r>
  </si>
  <si>
    <r>
      <rPr>
        <b val="true"/>
        <sz val="14"/>
        <color rgb="FF000000"/>
        <rFont val="Arial"/>
        <family val="2"/>
        <charset val="1"/>
      </rPr>
      <t xml:space="preserve">(24625) EDF Le Pont de Claix
</t>
    </r>
    <r>
      <rPr>
        <sz val="14"/>
        <color rgb="FF000000"/>
        <rFont val="Arial"/>
        <family val="2"/>
        <charset val="1"/>
      </rPr>
      <t xml:space="preserve">11 allée de La Houille Blanche 
38800 Pont de Claix
</t>
    </r>
    <r>
      <rPr>
        <b val="true"/>
        <sz val="14"/>
        <color rgb="FFFF0000"/>
        <rFont val="Arial"/>
        <family val="2"/>
        <charset val="1"/>
      </rPr>
      <t xml:space="preserve">Portail ouvert de 7h à 12h ET 13h à 17h
</t>
    </r>
    <r>
      <rPr>
        <sz val="14"/>
        <color rgb="FF000000"/>
        <rFont val="Arial"/>
        <family val="2"/>
        <charset val="1"/>
      </rPr>
      <t xml:space="preserve">M.Volle 06 07 19 30 92</t>
    </r>
  </si>
  <si>
    <r>
      <rPr>
        <b val="true"/>
        <sz val="14"/>
        <color rgb="FF000000"/>
        <rFont val="Arial"/>
        <family val="2"/>
        <charset val="1"/>
      </rPr>
      <t xml:space="preserve">(24580) CPAM Grenoble
</t>
    </r>
    <r>
      <rPr>
        <sz val="14"/>
        <color rgb="FF000000"/>
        <rFont val="Arial"/>
        <family val="2"/>
        <charset val="1"/>
      </rPr>
      <t xml:space="preserve">2 rue des Alliés
38100 Grenoble
</t>
    </r>
    <r>
      <rPr>
        <b val="true"/>
        <sz val="14"/>
        <color rgb="FF000000"/>
        <rFont val="Arial"/>
        <family val="2"/>
        <charset val="1"/>
      </rPr>
      <t xml:space="preserve">7x360P</t>
    </r>
  </si>
  <si>
    <t xml:space="preserve">Papier
Cartons</t>
  </si>
  <si>
    <r>
      <rPr>
        <b val="true"/>
        <sz val="14"/>
        <color rgb="FF000000"/>
        <rFont val="Arial"/>
        <family val="2"/>
        <charset val="1"/>
      </rPr>
      <t xml:space="preserve">(8690) LCL Liberation Grenoble  
</t>
    </r>
    <r>
      <rPr>
        <sz val="14"/>
        <color rgb="FF000000"/>
        <rFont val="Arial"/>
        <family val="2"/>
        <charset val="1"/>
      </rPr>
      <t xml:space="preserve">3 Cr de la Libération et du Général de Gaulle
38100 Grenoble
lundi        Fermé
mardi-vendredi      08:30–12:00, 13:30–18:00
jeudi         08:30–12:00, 14:30–18:00
On les prend lorsqu'ils sont à plat et donc manipulables.
On les laisse s'il sont en vrac et non pliés!
</t>
    </r>
    <r>
      <rPr>
        <b val="true"/>
        <sz val="14"/>
        <color rgb="FF000000"/>
        <rFont val="Arial"/>
        <family val="2"/>
        <charset val="1"/>
      </rPr>
      <t xml:space="preserve">Sacs, cartons pliés</t>
    </r>
  </si>
  <si>
    <t xml:space="preserve">Papiers
 Cartons
DIB</t>
  </si>
  <si>
    <r>
      <rPr>
        <b val="true"/>
        <sz val="14"/>
        <color rgb="FF000000"/>
        <rFont val="Arial"/>
        <family val="2"/>
        <charset val="1"/>
      </rPr>
      <t xml:space="preserve">(24768) MAISON DES ASSOCIATIONS 
</t>
    </r>
    <r>
      <rPr>
        <sz val="14"/>
        <color rgb="FF000000"/>
        <rFont val="Arial"/>
        <family val="2"/>
        <charset val="1"/>
      </rPr>
      <t xml:space="preserve">29 avenue du Maquis de l'oisans
38800 Le Pont de Claix
</t>
    </r>
    <r>
      <rPr>
        <sz val="14"/>
        <color rgb="FFFF0000"/>
        <rFont val="Arial"/>
        <family val="2"/>
        <charset val="1"/>
      </rPr>
      <t xml:space="preserve">Coordonnées GPS 45.121753, 5.700519
</t>
    </r>
    <r>
      <rPr>
        <b val="true"/>
        <sz val="14"/>
        <color theme="1"/>
        <rFont val="Arial"/>
        <family val="2"/>
        <charset val="1"/>
      </rPr>
      <t xml:space="preserve">1X240 Papiers</t>
    </r>
    <r>
      <rPr>
        <sz val="14"/>
        <color rgb="FFFF0000"/>
        <rFont val="Arial"/>
        <family val="2"/>
        <charset val="1"/>
      </rPr>
      <t xml:space="preserve">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</si>
  <si>
    <r>
      <rPr>
        <b val="true"/>
        <sz val="14"/>
        <color rgb="FF000000"/>
        <rFont val="Arial"/>
        <family val="2"/>
        <charset val="1"/>
      </rPr>
      <t xml:space="preserve">(77753) MERCK (UNITY SEMICONDUCTEUR)
</t>
    </r>
    <r>
      <rPr>
        <sz val="14"/>
        <color rgb="FF000000"/>
        <rFont val="Arial"/>
        <family val="2"/>
        <charset val="1"/>
      </rPr>
      <t xml:space="preserve">320 Chemin des Prêles
38330 SAINT-ISMIER
</t>
    </r>
    <r>
      <rPr>
        <b val="true"/>
        <sz val="14"/>
        <color rgb="FF000000"/>
        <rFont val="Arial"/>
        <family val="2"/>
        <charset val="1"/>
      </rPr>
      <t xml:space="preserve">
Lundi au vendredi :</t>
    </r>
    <r>
      <rPr>
        <b val="true"/>
        <sz val="18"/>
        <color rgb="FFFF0000"/>
        <rFont val="Arial"/>
        <family val="2"/>
        <charset val="1"/>
      </rPr>
      <t xml:space="preserve"> 9h</t>
    </r>
    <r>
      <rPr>
        <b val="true"/>
        <sz val="14"/>
        <color rgb="FF000000"/>
        <rFont val="Arial"/>
        <family val="2"/>
        <charset val="1"/>
      </rPr>
      <t xml:space="preserve">-17h30
</t>
    </r>
    <r>
      <rPr>
        <b val="true"/>
        <sz val="14"/>
        <rFont val="Arial"/>
        <family val="2"/>
        <charset val="1"/>
      </rPr>
      <t xml:space="preserve">Collecte à la corbeille 
</t>
    </r>
    <r>
      <rPr>
        <b val="true"/>
        <sz val="14"/>
        <color rgb="FFFF0000"/>
        <rFont val="Arial"/>
        <family val="2"/>
        <charset val="1"/>
      </rPr>
      <t xml:space="preserve">PROTOCOLE OBLIGATOIRE
</t>
    </r>
    <r>
      <rPr>
        <b val="true"/>
        <sz val="14"/>
        <color rgb="FF000000"/>
        <rFont val="Arial"/>
        <family val="2"/>
        <charset val="1"/>
      </rPr>
      <t xml:space="preserve">ODM systématique à : 
betty.campos@merckgroup.com
cathy.nguyen@merckgroup.com</t>
    </r>
  </si>
  <si>
    <t xml:space="preserve">Papiers
Bouteilles PET
Canettes
Cartons 
Piles (ALD)
DEEE (ALD)</t>
  </si>
  <si>
    <r>
      <rPr>
        <b val="true"/>
        <sz val="14"/>
        <color rgb="FF000000"/>
        <rFont val="Arial"/>
        <family val="2"/>
        <charset val="1"/>
      </rPr>
      <t xml:space="preserve">(24557) CIC Joffre Grenoble
</t>
    </r>
    <r>
      <rPr>
        <sz val="14"/>
        <color rgb="FF000000"/>
        <rFont val="Arial"/>
        <family val="2"/>
        <charset val="1"/>
      </rPr>
      <t xml:space="preserve">21 Bd Maréchal Joffre
38000 Grenoble
lundi        Fermé
mardi        09:00–12:30, 14:00–18:00
mercredi-vendredi  09:00–12:30, 13:30–18:00</t>
    </r>
  </si>
  <si>
    <r>
      <rPr>
        <b val="true"/>
        <sz val="14"/>
        <color rgb="FF000000"/>
        <rFont val="Arial"/>
        <family val="2"/>
        <charset val="1"/>
      </rPr>
      <t xml:space="preserve">(24416) ARCHIVES Le PONT de CAIX
</t>
    </r>
    <r>
      <rPr>
        <sz val="14"/>
        <color rgb="FF000000"/>
        <rFont val="Arial"/>
        <family val="2"/>
        <charset val="1"/>
      </rPr>
      <t xml:space="preserve">4 avenue du Maquis de l'Oisans
38800 Le Pont de Claix
</t>
    </r>
    <r>
      <rPr>
        <b val="true"/>
        <sz val="14"/>
        <color rgb="FF000000"/>
        <rFont val="Arial"/>
        <family val="2"/>
        <charset val="1"/>
      </rPr>
      <t xml:space="preserve">240P</t>
    </r>
  </si>
  <si>
    <r>
      <rPr>
        <b val="true"/>
        <sz val="14"/>
        <color rgb="FF000000"/>
        <rFont val="Arial"/>
        <family val="2"/>
        <charset val="1"/>
      </rPr>
      <t xml:space="preserve">(77753) UNITY SEMICONDUCTEUR
</t>
    </r>
    <r>
      <rPr>
        <sz val="14"/>
        <color rgb="FF000000"/>
        <rFont val="Arial"/>
        <family val="2"/>
        <charset val="1"/>
      </rPr>
      <t xml:space="preserve">ZAC ISIPARC
320 Chemin des Prêles
38330 SAINT-ISMIER
</t>
    </r>
    <r>
      <rPr>
        <b val="true"/>
        <sz val="14"/>
        <color rgb="FF000000"/>
        <rFont val="Arial"/>
        <family val="2"/>
        <charset val="1"/>
      </rPr>
      <t xml:space="preserve">
Lundi au vendredi : 8h-17h30
</t>
    </r>
    <r>
      <rPr>
        <b val="true"/>
        <sz val="14"/>
        <color rgb="FFFF0000"/>
        <rFont val="Arial"/>
        <family val="2"/>
        <charset val="1"/>
      </rPr>
      <t xml:space="preserve">VIDER LES 2 CENDRIERS DANS UN SAC DE MEGOTS
</t>
    </r>
    <r>
      <rPr>
        <b val="true"/>
        <u val="single"/>
        <sz val="14"/>
        <color rgb="FFFF0000"/>
        <rFont val="Arial"/>
        <family val="2"/>
        <charset val="1"/>
      </rPr>
      <t xml:space="preserve">ATTENTION </t>
    </r>
    <r>
      <rPr>
        <b val="true"/>
        <sz val="14"/>
        <color rgb="FFFF0000"/>
        <rFont val="Arial"/>
        <family val="2"/>
        <charset val="1"/>
      </rPr>
      <t xml:space="preserve">: ON RAMENE LE SAC AU DEPOT UNE FOIS LA COLLECTE TERMINEE</t>
    </r>
  </si>
  <si>
    <t xml:space="preserve">Mégôts
</t>
  </si>
  <si>
    <r>
      <rPr>
        <b val="true"/>
        <sz val="14"/>
        <color rgb="FF000000"/>
        <rFont val="Arial"/>
        <family val="2"/>
        <charset val="1"/>
      </rPr>
      <t xml:space="preserve">(8691) LCL Parc Expo Grenoble
</t>
    </r>
    <r>
      <rPr>
        <sz val="14"/>
        <color rgb="FF000000"/>
        <rFont val="Arial"/>
        <family val="2"/>
        <charset val="1"/>
      </rPr>
      <t xml:space="preserve">2 Av. Albert 1er de Belgique
38000 Grenoble
lundi               Fermé
mardi-vendredi              08:30–12:00, 13:30–18:00
jeudi               08:30–12:00, 14:30–18:00
On les prend lorsqu'ils sont à plat et donc manipulables.
On les laisse s'il sont en vrac et non pliés!
</t>
    </r>
    <r>
      <rPr>
        <b val="true"/>
        <sz val="14"/>
        <color rgb="FF000000"/>
        <rFont val="Arial"/>
        <family val="2"/>
        <charset val="1"/>
      </rPr>
      <t xml:space="preserve">Sacs, cartons pliés</t>
    </r>
  </si>
  <si>
    <r>
      <rPr>
        <b val="true"/>
        <sz val="14"/>
        <color rgb="FF000000"/>
        <rFont val="Arial"/>
        <family val="2"/>
        <charset val="1"/>
      </rPr>
      <t xml:space="preserve">(56568) AFPA - ATALIAN
</t>
    </r>
    <r>
      <rPr>
        <sz val="14"/>
        <color rgb="FF000000"/>
        <rFont val="Arial"/>
        <family val="2"/>
        <charset val="1"/>
      </rPr>
      <t xml:space="preserve">34 avenue victor hugo
38800 Pont de Claix</t>
    </r>
  </si>
  <si>
    <t xml:space="preserve">PAPIER</t>
  </si>
  <si>
    <r>
      <rPr>
        <b val="true"/>
        <sz val="14"/>
        <color rgb="FF000000"/>
        <rFont val="Arial"/>
        <family val="2"/>
        <charset val="1"/>
      </rPr>
      <t xml:space="preserve">(60371) BERTIN ALPAO
</t>
    </r>
    <r>
      <rPr>
        <sz val="14"/>
        <color rgb="FF000000"/>
        <rFont val="Arial"/>
        <family val="2"/>
        <charset val="1"/>
      </rPr>
      <t xml:space="preserve">727 Rue Aristide Berges
38330 MONTBONNOT</t>
    </r>
    <r>
      <rPr>
        <b val="true"/>
        <sz val="14"/>
        <color rgb="FF000000"/>
        <rFont val="Arial"/>
        <family val="2"/>
        <charset val="1"/>
      </rPr>
      <t xml:space="preserve"> 
1x770 DIB
</t>
    </r>
  </si>
  <si>
    <t xml:space="preserve">DIB</t>
  </si>
  <si>
    <r>
      <rPr>
        <b val="true"/>
        <sz val="14"/>
        <color rgb="FF000000"/>
        <rFont val="Arial"/>
        <family val="2"/>
        <charset val="1"/>
      </rPr>
      <t xml:space="preserve">(24664) EUROFINS LABAZUR Stalingrad Grenoble 
</t>
    </r>
    <r>
      <rPr>
        <sz val="14"/>
        <color rgb="FF000000"/>
        <rFont val="Arial"/>
        <family val="2"/>
        <charset val="1"/>
      </rPr>
      <t xml:space="preserve">47 rue de Stalingrad
38000 Grenoble
lundi-vendredi       </t>
    </r>
    <r>
      <rPr>
        <b val="true"/>
        <sz val="16"/>
        <color rgb="FFFF0000"/>
        <rFont val="Arial"/>
        <family val="2"/>
        <charset val="1"/>
      </rPr>
      <t xml:space="preserve">07:00–12:30
</t>
    </r>
    <r>
      <rPr>
        <sz val="14"/>
        <color rgb="FF000000"/>
        <rFont val="Arial"/>
        <family val="2"/>
        <charset val="1"/>
      </rPr>
      <t xml:space="preserve">
</t>
    </r>
    <r>
      <rPr>
        <sz val="14"/>
        <color rgb="FFFF0000"/>
        <rFont val="Arial"/>
        <family val="2"/>
        <charset val="1"/>
      </rPr>
      <t xml:space="preserve">Noter le nombre de corbeilles pour la facturation</t>
    </r>
  </si>
  <si>
    <r>
      <rPr>
        <b val="true"/>
        <sz val="14"/>
        <color rgb="FF000000"/>
        <rFont val="Arial"/>
        <family val="2"/>
        <charset val="1"/>
      </rPr>
      <t xml:space="preserve">(24710) MAIRIE PONT DE CLAIX
</t>
    </r>
    <r>
      <rPr>
        <sz val="14"/>
        <color rgb="FF000000"/>
        <rFont val="Arial"/>
        <family val="2"/>
        <charset val="1"/>
      </rPr>
      <t xml:space="preserve">Rue Parmentier
38800 Le Pont de Claix
</t>
    </r>
    <r>
      <rPr>
        <b val="true"/>
        <sz val="14"/>
        <color rgb="FF000000"/>
        <rFont val="Arial"/>
        <family val="2"/>
        <charset val="1"/>
      </rPr>
      <t xml:space="preserve">2x360 </t>
    </r>
    <r>
      <rPr>
        <b val="true"/>
        <u val="single"/>
        <sz val="14"/>
        <color rgb="FFFF0000"/>
        <rFont val="Arial"/>
        <family val="2"/>
        <charset val="1"/>
      </rPr>
      <t xml:space="preserve">Sécu
</t>
    </r>
  </si>
  <si>
    <r>
      <rPr>
        <b val="true"/>
        <sz val="14"/>
        <color rgb="FF000000"/>
        <rFont val="Arial"/>
        <family val="2"/>
        <charset val="1"/>
      </rPr>
      <t xml:space="preserve">(24908) STRYKER MTB3
</t>
    </r>
    <r>
      <rPr>
        <sz val="14"/>
        <color rgb="FF000000"/>
        <rFont val="Arial"/>
        <family val="2"/>
        <charset val="1"/>
      </rPr>
      <t xml:space="preserve">Anciennemment WRIGHT
161 Rue Lavoisier
38330 Montbonnot-Saint-Martin
</t>
    </r>
    <r>
      <rPr>
        <b val="true"/>
        <sz val="14"/>
        <color rgb="FF000000"/>
        <rFont val="Arial"/>
        <family val="2"/>
        <charset val="1"/>
      </rPr>
      <t xml:space="preserve">2X360P,770MD
</t>
    </r>
  </si>
  <si>
    <t xml:space="preserve">Papier
Cartons
Toner
BP
Canette
DEEE
Piles</t>
  </si>
  <si>
    <r>
      <rPr>
        <b val="true"/>
        <sz val="14"/>
        <color rgb="FF000000"/>
        <rFont val="Arial"/>
        <family val="2"/>
        <charset val="1"/>
      </rPr>
      <t xml:space="preserve">(8534) CSF (A/B)
</t>
    </r>
    <r>
      <rPr>
        <sz val="14"/>
        <color rgb="FF000000"/>
        <rFont val="Arial"/>
        <family val="2"/>
        <charset val="1"/>
      </rPr>
      <t xml:space="preserve">14 Av. Félix Viallet
38000 Grenoble
lundi-vendredi           10h–17h00
</t>
    </r>
    <r>
      <rPr>
        <b val="true"/>
        <sz val="14"/>
        <color rgb="FFFF0000"/>
        <rFont val="Arial"/>
        <family val="2"/>
        <charset val="1"/>
      </rPr>
      <t xml:space="preserve">Uniquement mercredi ENTRE 10h ET 17H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VIDER CAISSON SECU, Sacs blancs
</t>
    </r>
  </si>
  <si>
    <r>
      <rPr>
        <b val="true"/>
        <sz val="14"/>
        <color rgb="FF000000"/>
        <rFont val="Arial"/>
        <family val="2"/>
        <charset val="1"/>
      </rPr>
      <t xml:space="preserve">(24650) ETAT CIVIL Le Pont de Claix A/B
</t>
    </r>
    <r>
      <rPr>
        <sz val="14"/>
        <color rgb="FF000000"/>
        <rFont val="Arial"/>
        <family val="2"/>
        <charset val="1"/>
      </rPr>
      <t xml:space="preserve">Place du 8 mai 1945
38800 Le Pont de Claix</t>
    </r>
  </si>
  <si>
    <r>
      <rPr>
        <b val="true"/>
        <sz val="14"/>
        <color rgb="FF000000"/>
        <rFont val="Arial"/>
        <family val="2"/>
        <charset val="1"/>
      </rPr>
      <t xml:space="preserve">(24909) STRYKER MTB4 
</t>
    </r>
    <r>
      <rPr>
        <sz val="14"/>
        <color rgb="FF000000"/>
        <rFont val="Arial"/>
        <family val="2"/>
        <charset val="1"/>
      </rPr>
      <t xml:space="preserve">Anciennemment WRIGHT
176 Rue Lavoisier
38330 Montbonnot-Saint-Martin
</t>
    </r>
    <r>
      <rPr>
        <b val="true"/>
        <sz val="14"/>
        <color rgb="FF000000"/>
        <rFont val="Arial"/>
        <family val="2"/>
        <charset val="1"/>
      </rPr>
      <t xml:space="preserve">770P,770MD
</t>
    </r>
  </si>
  <si>
    <r>
      <rPr>
        <b val="true"/>
        <sz val="14"/>
        <color rgb="FF000000"/>
        <rFont val="Arial"/>
        <family val="2"/>
        <charset val="1"/>
      </rPr>
      <t xml:space="preserve">(48641) GMF - GRENOBLE (croisement ) EDOUARD REY (B/B)
</t>
    </r>
    <r>
      <rPr>
        <sz val="14"/>
        <color rgb="FF000000"/>
        <rFont val="Arial"/>
        <family val="2"/>
        <charset val="1"/>
      </rPr>
      <t xml:space="preserve">7 RUE Félix Viallet
38000 Grenoble
0645458915 
Mardi au Vendredi : 9h 13h  13h 14h 17h30 
</t>
    </r>
    <r>
      <rPr>
        <b val="true"/>
        <sz val="14"/>
        <color rgb="FF000000"/>
        <rFont val="Arial"/>
        <family val="2"/>
        <charset val="1"/>
      </rPr>
      <t xml:space="preserve">Collecte à la corbeille</t>
    </r>
  </si>
  <si>
    <r>
      <rPr>
        <b val="true"/>
        <sz val="16"/>
        <color rgb="FF000000"/>
        <rFont val="Arial"/>
        <family val="2"/>
        <charset val="1"/>
      </rPr>
      <t xml:space="preserve">(87387) BIOGROUP PONT DE CLAIX B/B
</t>
    </r>
    <r>
      <rPr>
        <sz val="16"/>
        <color rgb="FF000000"/>
        <rFont val="Arial"/>
        <family val="2"/>
        <charset val="1"/>
      </rPr>
      <t xml:space="preserve">29 Place du 8 mai 1945
38800 LE PONT DE CLAIX
</t>
    </r>
    <r>
      <rPr>
        <sz val="16"/>
        <color rgb="FFFF0000"/>
        <rFont val="Arial"/>
        <family val="2"/>
        <charset val="1"/>
      </rPr>
      <t xml:space="preserve">Prendre 2 bacs et remplir avec tout les papiers présents chez le client
</t>
    </r>
    <r>
      <rPr>
        <b val="true"/>
        <u val="single"/>
        <sz val="16"/>
        <color rgb="FFFF0000"/>
        <rFont val="Arial"/>
        <family val="2"/>
        <charset val="1"/>
      </rPr>
      <t xml:space="preserve">Attention</t>
    </r>
    <r>
      <rPr>
        <b val="true"/>
        <sz val="16"/>
        <color rgb="FFFF0000"/>
        <rFont val="Arial"/>
        <family val="2"/>
        <charset val="1"/>
      </rPr>
      <t xml:space="preserve"> : On repart avec les bacs, on ne les laisses pas chez le client !</t>
    </r>
  </si>
  <si>
    <r>
      <rPr>
        <b val="true"/>
        <sz val="14"/>
        <color rgb="FF000000"/>
        <rFont val="Arial"/>
        <family val="2"/>
        <charset val="1"/>
      </rPr>
      <t xml:space="preserve">(24910) STRYKER MTB5
</t>
    </r>
    <r>
      <rPr>
        <sz val="14"/>
        <color rgb="FF000000"/>
        <rFont val="Arial"/>
        <family val="2"/>
        <charset val="1"/>
      </rPr>
      <t xml:space="preserve">Anciennemment WRIGHT
385 Rue Lavoisier
38330 Montbonnot-Saint-Martin
</t>
    </r>
    <r>
      <rPr>
        <b val="true"/>
        <sz val="14"/>
        <color rgb="FF000000"/>
        <rFont val="Arial"/>
        <family val="2"/>
        <charset val="1"/>
      </rPr>
      <t xml:space="preserve">360MD
</t>
    </r>
  </si>
  <si>
    <r>
      <rPr>
        <b val="true"/>
        <sz val="14"/>
        <color rgb="FF000000"/>
        <rFont val="Arial"/>
        <family val="2"/>
        <charset val="1"/>
      </rPr>
      <t xml:space="preserve">(24893) SPARTOO A/B
</t>
    </r>
    <r>
      <rPr>
        <sz val="14"/>
        <color rgb="FF000000"/>
        <rFont val="Arial"/>
        <family val="2"/>
        <charset val="1"/>
      </rPr>
      <t xml:space="preserve">16 Rue Henri Barbusse
38100 Grenoble
</t>
    </r>
    <r>
      <rPr>
        <b val="true"/>
        <sz val="14"/>
        <color rgb="FFFF0000"/>
        <rFont val="Arial"/>
        <family val="2"/>
        <charset val="1"/>
      </rPr>
      <t xml:space="preserve">BADGE + PROTOCOLE OBLIGATOIRE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Uniquement le MARDI matin
Sacs Akilux faire le tour des bureaux
</t>
    </r>
    <r>
      <rPr>
        <b val="true"/>
        <sz val="14"/>
        <color rgb="FF000000"/>
        <rFont val="Arial"/>
        <family val="2"/>
        <charset val="1"/>
      </rPr>
      <t xml:space="preserve">
* lI faudra bien qu'ils passent vider les corbeilles dans la partie à droite en rentrant dans le hall du bâtiment au RDC
</t>
    </r>
    <r>
      <rPr>
        <b val="true"/>
        <sz val="14"/>
        <color rgb="FFFF0000"/>
        <rFont val="Arial"/>
        <family val="2"/>
        <charset val="1"/>
      </rPr>
      <t xml:space="preserve">INTERDICTION DE RECUPERER LES CARTONS</t>
    </r>
  </si>
  <si>
    <t xml:space="preserve">Papiers
Gobelets carton
Canettes
Bouteilles plastique
DEEE</t>
  </si>
  <si>
    <r>
      <rPr>
        <b val="true"/>
        <sz val="14"/>
        <color rgb="FF000000"/>
        <rFont val="Arial"/>
        <family val="2"/>
        <charset val="1"/>
      </rPr>
      <t xml:space="preserve">(24841) POLICE MUNICIPALE Le Pont de Claix
</t>
    </r>
    <r>
      <rPr>
        <sz val="14"/>
        <color rgb="FF000000"/>
        <rFont val="Arial"/>
        <family val="2"/>
        <charset val="1"/>
      </rPr>
      <t xml:space="preserve">39 Cours Saint André
38800 Le Pont de Claix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ALLER AU POSTE ET DEMANDER BAC</t>
    </r>
  </si>
  <si>
    <r>
      <rPr>
        <b val="true"/>
        <sz val="14"/>
        <color rgb="FF000000"/>
        <rFont val="Arial"/>
        <family val="2"/>
        <charset val="1"/>
      </rPr>
      <t xml:space="preserve">(71129) INRIA
</t>
    </r>
    <r>
      <rPr>
        <sz val="14"/>
        <color rgb="FF000000"/>
        <rFont val="Arial"/>
        <family val="2"/>
        <charset val="1"/>
      </rPr>
      <t xml:space="preserve">655 Avenue de l'Europe
38330 MONTBONNOT SAINT MARTIN
Lundi au vendredi : 8h30-12h / 13h-16h30
</t>
    </r>
    <r>
      <rPr>
        <b val="true"/>
        <sz val="14"/>
        <color rgb="FF000000"/>
        <rFont val="Arial"/>
        <family val="2"/>
        <charset val="1"/>
      </rPr>
      <t xml:space="preserve">
1x770 DIB </t>
    </r>
  </si>
  <si>
    <t xml:space="preserve">DIB (770)</t>
  </si>
  <si>
    <r>
      <rPr>
        <b val="true"/>
        <sz val="14"/>
        <color rgb="FF000000"/>
        <rFont val="Arial"/>
        <family val="2"/>
        <charset val="1"/>
      </rPr>
      <t xml:space="preserve">(24742) LACOSTE 
</t>
    </r>
    <r>
      <rPr>
        <sz val="14"/>
        <color rgb="FF000000"/>
        <rFont val="Arial"/>
        <family val="2"/>
        <charset val="1"/>
      </rPr>
      <t xml:space="preserve">2 Place.Docteur Léon Martin
38000 Grenoble
lundi-vendredi         10:00–19:00</t>
    </r>
  </si>
  <si>
    <t xml:space="preserve">Vrac</t>
  </si>
  <si>
    <r>
      <rPr>
        <b val="true"/>
        <sz val="14"/>
        <color rgb="FF000000"/>
        <rFont val="Arial"/>
        <family val="2"/>
        <charset val="1"/>
      </rPr>
      <t xml:space="preserve">(24527) CCAS Le Pont de Claix
</t>
    </r>
    <r>
      <rPr>
        <sz val="14"/>
        <color rgb="FF000000"/>
        <rFont val="Arial"/>
        <family val="2"/>
        <charset val="1"/>
      </rPr>
      <t xml:space="preserve">27 avenue Antoine Girard
38800 Le Pont de Claix
</t>
    </r>
    <r>
      <rPr>
        <sz val="14"/>
        <color rgb="FFFF0000"/>
        <rFont val="Arial"/>
        <family val="2"/>
        <charset val="1"/>
      </rPr>
      <t xml:space="preserve">45.127976, 5.697777</t>
    </r>
  </si>
  <si>
    <r>
      <rPr>
        <b val="true"/>
        <sz val="14"/>
        <color rgb="FF000000"/>
        <rFont val="Arial"/>
        <family val="2"/>
        <charset val="1"/>
      </rPr>
      <t xml:space="preserve">(9657) CCF (HSBC) Gambetta B/B
</t>
    </r>
    <r>
      <rPr>
        <sz val="14"/>
        <color rgb="FF000000"/>
        <rFont val="Arial"/>
        <family val="2"/>
        <charset val="1"/>
      </rPr>
      <t xml:space="preserve">18 Boulevard Gambetta
38000 GRENOBLE
Mardi au Vendredi  : 08h30–12h30 / 14h–17h30
</t>
    </r>
    <r>
      <rPr>
        <b val="true"/>
        <sz val="14"/>
        <color rgb="FF000000"/>
        <rFont val="Arial"/>
        <family val="2"/>
        <charset val="1"/>
      </rPr>
      <t xml:space="preserve">3 sacs 110L MAX, tous flux confondus (PAPIER - MULTI - DIB contractuel) + 4 à 5 cartons à plat  
</t>
    </r>
  </si>
  <si>
    <t xml:space="preserve">Papiers
Cartons
DIB</t>
  </si>
  <si>
    <r>
      <rPr>
        <b val="true"/>
        <sz val="14"/>
        <color rgb="FF000000"/>
        <rFont val="Arial"/>
        <family val="2"/>
        <charset val="1"/>
      </rPr>
      <t xml:space="preserve">(24767) MAISON DE L'HABITANT Le Pont de Claix
</t>
    </r>
    <r>
      <rPr>
        <sz val="14"/>
        <color rgb="FF000000"/>
        <rFont val="Arial"/>
        <family val="2"/>
        <charset val="1"/>
      </rPr>
      <t xml:space="preserve">avenue des Iles de Mars
38800 Le Pont de Claix
</t>
    </r>
    <r>
      <rPr>
        <b val="true"/>
        <sz val="14"/>
        <color rgb="FFFF0000"/>
        <rFont val="Arial"/>
        <family val="2"/>
        <charset val="1"/>
      </rPr>
      <t xml:space="preserve">DEMANDER OUVERTURE LOCAL</t>
    </r>
  </si>
  <si>
    <t xml:space="preserve">Echirolles</t>
  </si>
  <si>
    <r>
      <rPr>
        <b val="true"/>
        <sz val="14"/>
        <color theme="1"/>
        <rFont val="Arial"/>
        <family val="2"/>
        <charset val="1"/>
      </rPr>
      <t xml:space="preserve">(84080) BNP Echirolles Mairie
</t>
    </r>
    <r>
      <rPr>
        <sz val="14"/>
        <color rgb="FF000000"/>
        <rFont val="Arial"/>
        <family val="2"/>
        <charset val="1"/>
      </rPr>
      <t xml:space="preserve">48 Avenue Du 8 Mai 1945
38130 ECHIROLLES
</t>
    </r>
    <r>
      <rPr>
        <b val="true"/>
        <sz val="14"/>
        <color rgb="FF000000"/>
        <rFont val="Arial"/>
        <family val="2"/>
        <charset val="1"/>
      </rPr>
      <t xml:space="preserve">Mardi : 9h30-12h30 / 13h30-18h
Mercedi au vendredi : </t>
    </r>
    <r>
      <rPr>
        <b val="true"/>
        <sz val="14"/>
        <color rgb="FFFF0000"/>
        <rFont val="Arial"/>
        <family val="2"/>
        <charset val="1"/>
      </rPr>
      <t xml:space="preserve">9h30-12h30</t>
    </r>
  </si>
  <si>
    <r>
      <rPr>
        <b val="true"/>
        <sz val="14"/>
        <color rgb="FF000000"/>
        <rFont val="Arial"/>
        <family val="2"/>
        <charset val="1"/>
      </rPr>
      <t xml:space="preserve">(24410) AMPHITHEATRE ET BIBLIOTHEQUE Le Pont de Claix
</t>
    </r>
    <r>
      <rPr>
        <sz val="14"/>
        <color rgb="FF000000"/>
        <rFont val="Arial"/>
        <family val="2"/>
        <charset val="1"/>
      </rPr>
      <t xml:space="preserve">Place Michel Couetoux
38800 Le Pont de Claix
</t>
    </r>
    <r>
      <rPr>
        <b val="true"/>
        <sz val="14"/>
        <color rgb="FFFF0000"/>
        <rFont val="Arial"/>
        <family val="2"/>
        <charset val="1"/>
      </rPr>
      <t xml:space="preserve">
Bacs AMPHITHEATRE ET BIBLIOTHEQUE AU MEME ENDROIT DEMANDER ACCES AMPHITHEATRE</t>
    </r>
  </si>
  <si>
    <r>
      <rPr>
        <b val="true"/>
        <sz val="14"/>
        <color rgb="FF000000"/>
        <rFont val="Arial"/>
        <family val="2"/>
        <charset val="1"/>
      </rPr>
      <t xml:space="preserve">(8682) LCL La Commanderie Echirolles
</t>
    </r>
    <r>
      <rPr>
        <sz val="14"/>
        <color rgb="FF000000"/>
        <rFont val="Arial"/>
        <family val="2"/>
        <charset val="1"/>
      </rPr>
      <t xml:space="preserve">4 B Rue Gabriel Didier
38130 Échirolles
lundi        Fermé
mardi -vendredi     08:30–12:00, 13:30–17:45
jeudi         08:30–12:00, 14:30–17:45
</t>
    </r>
    <r>
      <rPr>
        <b val="true"/>
        <sz val="14"/>
        <color rgb="FF000000"/>
        <rFont val="Arial"/>
        <family val="2"/>
        <charset val="1"/>
      </rPr>
      <t xml:space="preserve">Sacs, cartons pliés</t>
    </r>
  </si>
  <si>
    <r>
      <rPr>
        <b val="true"/>
        <sz val="14"/>
        <color rgb="FF000000"/>
        <rFont val="Arial"/>
        <family val="2"/>
        <charset val="1"/>
      </rPr>
      <t xml:space="preserve">(24630) EPHAD Le Pont de Claix
</t>
    </r>
    <r>
      <rPr>
        <sz val="14"/>
        <color rgb="FF000000"/>
        <rFont val="Arial"/>
        <family val="2"/>
        <charset val="1"/>
      </rPr>
      <t xml:space="preserve">14 Auguste et Edith Goirand
38800 Le Pont de Claix
</t>
    </r>
    <r>
      <rPr>
        <b val="true"/>
        <sz val="14"/>
        <color rgb="FF000000"/>
        <rFont val="Arial"/>
        <family val="2"/>
        <charset val="1"/>
      </rPr>
      <t xml:space="preserve">360P
</t>
    </r>
    <r>
      <rPr>
        <b val="true"/>
        <sz val="14"/>
        <color rgb="FFFF0000"/>
        <rFont val="Arial"/>
        <family val="2"/>
        <charset val="1"/>
      </rPr>
      <t xml:space="preserve">Code 3880#</t>
    </r>
  </si>
  <si>
    <r>
      <rPr>
        <b val="true"/>
        <sz val="14"/>
        <color rgb="FF000000"/>
        <rFont val="Arial"/>
        <family val="2"/>
        <charset val="1"/>
      </rPr>
      <t xml:space="preserve">(24660) EUROFINS LABAZUR  Echirolles
</t>
    </r>
    <r>
      <rPr>
        <sz val="14"/>
        <color rgb="FF000000"/>
        <rFont val="Arial"/>
        <family val="2"/>
        <charset val="1"/>
      </rPr>
      <t xml:space="preserve">1 Av. du 8 Mai 1945
38130 Échirolles
lundi-vendredi        07:00–18:00
Noter le nombre de corbeilles pour la facturation
</t>
    </r>
    <r>
      <rPr>
        <b val="true"/>
        <sz val="14"/>
        <color rgb="FF000000"/>
        <rFont val="Arial"/>
        <family val="2"/>
        <charset val="1"/>
      </rPr>
      <t xml:space="preserve">Corbeilles fermées
</t>
    </r>
  </si>
  <si>
    <r>
      <rPr>
        <b val="true"/>
        <sz val="14"/>
        <color rgb="FF000000"/>
        <rFont val="Arial"/>
        <family val="2"/>
        <charset val="1"/>
      </rPr>
      <t xml:space="preserve">(73996) ARTELIA PONT DE CLAIX
</t>
    </r>
    <r>
      <rPr>
        <sz val="14"/>
        <color rgb="FF000000"/>
        <rFont val="Arial"/>
        <family val="2"/>
        <charset val="1"/>
      </rPr>
      <t xml:space="preserve">4 Avenue du Général de Gaulle
38800 Le Pont de Claix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Lundi au vendredi : 7h30-12h et 13h-16h30
</t>
    </r>
    <r>
      <rPr>
        <b val="true"/>
        <sz val="14"/>
        <color rgb="FF000000"/>
        <rFont val="Arial"/>
        <family val="2"/>
        <charset val="1"/>
      </rPr>
      <t xml:space="preserve">
1x360 Papiers, 1x770 Cartons et 1x770 MD
+ 2x120 Aérosols </t>
    </r>
    <r>
      <rPr>
        <b val="true"/>
        <sz val="14"/>
        <color rgb="FFFF0000"/>
        <rFont val="Arial"/>
        <family val="2"/>
        <charset val="1"/>
      </rPr>
      <t xml:space="preserve">ALD</t>
    </r>
  </si>
  <si>
    <t xml:space="preserve">D</t>
  </si>
  <si>
    <t xml:space="preserve">PONCTUEL :
LIVRAISON 6 AQUILUXS</t>
  </si>
  <si>
    <t xml:space="preserve">Papiers (360L)
Cartons (770L)
Bouteilles (770L)
Essuis-mains (770L)
Verre (770L)
Aérosols (dans 120L) ALD
Mégôts (ALD)</t>
  </si>
  <si>
    <r>
      <rPr>
        <b val="true"/>
        <sz val="14"/>
        <color rgb="FF000000"/>
        <rFont val="Arial"/>
        <family val="2"/>
        <charset val="1"/>
      </rPr>
      <t xml:space="preserve">(24540) CERA La Rampe Echirolles
</t>
    </r>
    <r>
      <rPr>
        <sz val="14"/>
        <color rgb="FF000000"/>
        <rFont val="Arial"/>
        <family val="2"/>
        <charset val="1"/>
      </rPr>
      <t xml:space="preserve">13 Av. du 8 Mai 1945
38130 Échirolles
lundi         Fermé
mardi-vendredi        09:15–12:30, 13:30–18:00
</t>
    </r>
    <r>
      <rPr>
        <b val="true"/>
        <sz val="14"/>
        <color rgb="FF000000"/>
        <rFont val="Arial"/>
        <family val="2"/>
        <charset val="1"/>
      </rPr>
      <t xml:space="preserve">Sacs blancs,cartons
</t>
    </r>
    <r>
      <rPr>
        <sz val="14"/>
        <color rgb="FF000000"/>
        <rFont val="Arial"/>
        <family val="2"/>
        <charset val="1"/>
      </rPr>
      <t xml:space="preserve"> </t>
    </r>
  </si>
  <si>
    <r>
      <rPr>
        <b val="true"/>
        <sz val="14"/>
        <color theme="1"/>
        <rFont val="Arial"/>
        <family val="2"/>
        <charset val="1"/>
      </rPr>
      <t xml:space="preserve">(84195) BNP Le Pont-de-Claix
</t>
    </r>
    <r>
      <rPr>
        <sz val="14"/>
        <color rgb="FF000000"/>
        <rFont val="Arial"/>
        <family val="2"/>
        <charset val="1"/>
      </rPr>
      <t xml:space="preserve">2 Avenue du Maquis de l'Oisans
38800 LE PONT DE CLAIX
</t>
    </r>
    <r>
      <rPr>
        <b val="true"/>
        <sz val="14"/>
        <color rgb="FF000000"/>
        <rFont val="Arial"/>
        <family val="2"/>
        <charset val="1"/>
      </rPr>
      <t xml:space="preserve">Mardi au Jeudi : 9h30-12h30 / 13h30-18h
</t>
    </r>
    <r>
      <rPr>
        <b val="true"/>
        <sz val="14"/>
        <color rgb="FFFF0000"/>
        <rFont val="Arial"/>
        <family val="2"/>
        <charset val="1"/>
      </rPr>
      <t xml:space="preserve">Vendredi : Sur RDV Uniquement</t>
    </r>
  </si>
  <si>
    <r>
      <rPr>
        <b val="true"/>
        <sz val="14"/>
        <color theme="1"/>
        <rFont val="Arial"/>
        <family val="2"/>
        <charset val="1"/>
      </rPr>
      <t xml:space="preserve">(84180) BNP Le Bourg-d'Oisans
</t>
    </r>
    <r>
      <rPr>
        <sz val="14"/>
        <color rgb="FF000000"/>
        <rFont val="Arial"/>
        <family val="2"/>
        <charset val="1"/>
      </rPr>
      <t xml:space="preserve">7 Avenue de la République
38520 LE BOURG D'OISANS
</t>
    </r>
    <r>
      <rPr>
        <b val="true"/>
        <sz val="14"/>
        <color rgb="FF000000"/>
        <rFont val="Arial"/>
        <family val="2"/>
        <charset val="1"/>
      </rPr>
      <t xml:space="preserve">Mardi, Jeudi et Vendredi : 9h-12h30 / 13h30-17h30</t>
    </r>
  </si>
  <si>
    <r>
      <rPr>
        <b val="true"/>
        <sz val="14"/>
        <color rgb="FF000000"/>
        <rFont val="Arial"/>
        <family val="2"/>
        <charset val="1"/>
      </rPr>
      <t xml:space="preserve">(24428) AVERY DENNISON
</t>
    </r>
    <r>
      <rPr>
        <sz val="14"/>
        <color rgb="FF000000"/>
        <rFont val="Arial"/>
        <family val="2"/>
        <charset val="1"/>
      </rPr>
      <t xml:space="preserve">Zone Industrielle
38560 CHAMP-SUR-DRAC
</t>
    </r>
    <r>
      <rPr>
        <b val="true"/>
        <sz val="14"/>
        <color rgb="FF000000"/>
        <rFont val="Arial"/>
        <family val="2"/>
        <charset val="1"/>
      </rPr>
      <t xml:space="preserve">
2x120 Verre + 1x120 Capsules cafés + 6x360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rgb="FF000000"/>
        <rFont val="Arial"/>
        <family val="2"/>
        <charset val="1"/>
      </rPr>
      <t xml:space="preserve"> Papiers + 3x770 </t>
    </r>
    <r>
      <rPr>
        <b val="true"/>
        <u val="single"/>
        <sz val="14"/>
        <color rgb="FFFF0000"/>
        <rFont val="Arial"/>
        <family val="2"/>
        <charset val="1"/>
      </rPr>
      <t xml:space="preserve">SECU </t>
    </r>
    <r>
      <rPr>
        <b val="true"/>
        <sz val="14"/>
        <color rgb="FF000000"/>
        <rFont val="Arial"/>
        <family val="2"/>
        <charset val="1"/>
      </rPr>
      <t xml:space="preserve">MD</t>
    </r>
  </si>
  <si>
    <t xml:space="preserve">Papiers
Cartons
Gobelets
Canettes
Bout PET
Capsules café
Verres
</t>
  </si>
  <si>
    <t xml:space="preserve">Initialement prévu 15/07</t>
  </si>
  <si>
    <t xml:space="preserve">GRENOBLE HYPER CENTRE</t>
  </si>
  <si>
    <t xml:space="preserve">GRENOBLE HYPER CENTRE </t>
  </si>
  <si>
    <t xml:space="preserve">Maurienne 1/2 et Lanslebourg</t>
  </si>
  <si>
    <r>
      <rPr>
        <b val="true"/>
        <sz val="14"/>
        <color rgb="FF000000"/>
        <rFont val="Arial"/>
        <family val="2"/>
        <charset val="1"/>
      </rPr>
      <t xml:space="preserve">(62518) NORMAL -OPTI environnement
</t>
    </r>
    <r>
      <rPr>
        <sz val="14"/>
        <color rgb="FF000000"/>
        <rFont val="Arial"/>
        <family val="2"/>
        <charset val="1"/>
      </rPr>
      <t xml:space="preserve">5 rue de la république
38000 Grenoble
</t>
    </r>
    <r>
      <rPr>
        <b val="true"/>
        <sz val="14"/>
        <color rgb="FFFF0000"/>
        <rFont val="Arial"/>
        <family val="2"/>
        <charset val="1"/>
      </rPr>
      <t xml:space="preserve">
AVANT 9 H 
</t>
    </r>
    <r>
      <rPr>
        <sz val="14"/>
        <color rgb="FF000000"/>
        <rFont val="Arial"/>
        <family val="2"/>
        <charset val="1"/>
      </rPr>
      <t xml:space="preserve">06 14 07 41 10 
0635389608</t>
    </r>
  </si>
  <si>
    <r>
      <rPr>
        <b val="true"/>
        <sz val="14"/>
        <color rgb="FF000000"/>
        <rFont val="Arial"/>
        <family val="2"/>
        <charset val="1"/>
      </rPr>
      <t xml:space="preserve">(26587) MMV VAL CENIS
</t>
    </r>
    <r>
      <rPr>
        <sz val="14"/>
        <color rgb="FF000000"/>
        <rFont val="Arial"/>
        <family val="2"/>
        <charset val="1"/>
      </rPr>
      <t xml:space="preserve">VILLAGE CLUB LE VAL CENIS - QUARTIER DES SABLONS
6 chemin des Crueux
73480  LANSLEBOURG
</t>
    </r>
    <r>
      <rPr>
        <b val="true"/>
        <sz val="14"/>
        <color rgb="FFFF0000"/>
        <rFont val="Arial"/>
        <family val="2"/>
        <charset val="1"/>
      </rPr>
      <t xml:space="preserve">
Du 04/07/26 au 29/08/26</t>
    </r>
  </si>
  <si>
    <r>
      <rPr>
        <b val="true"/>
        <sz val="14"/>
        <color rgb="FF000000"/>
        <rFont val="Arial"/>
        <family val="2"/>
        <charset val="1"/>
      </rPr>
      <t xml:space="preserve">(50099) MACIF MEYLAN A/B
</t>
    </r>
    <r>
      <rPr>
        <sz val="14"/>
        <color rgb="FF000000"/>
        <rFont val="Arial"/>
        <family val="2"/>
        <charset val="1"/>
      </rPr>
      <t xml:space="preserve">13 chemin des près
38240 MEYLAN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lundi Fermé
mardi au vendredi 09:00–12:00, 13:30–18:00
</t>
    </r>
  </si>
  <si>
    <r>
      <rPr>
        <b val="true"/>
        <sz val="14"/>
        <color rgb="FF000000"/>
        <rFont val="Arial"/>
        <family val="2"/>
        <charset val="1"/>
      </rPr>
      <t xml:space="preserve">(24688) Grenoble Ecole de Management (GEM)
</t>
    </r>
    <r>
      <rPr>
        <sz val="14"/>
        <color rgb="FF000000"/>
        <rFont val="Arial"/>
        <family val="2"/>
        <charset val="1"/>
      </rPr>
      <t xml:space="preserve">12 Rue Pierre Semard Eurpôle
</t>
    </r>
    <r>
      <rPr>
        <sz val="14"/>
        <color rgb="FFFF0000"/>
        <rFont val="Arial"/>
        <family val="2"/>
        <charset val="1"/>
      </rPr>
      <t xml:space="preserve">2 cotés du batiment
</t>
    </r>
    <r>
      <rPr>
        <sz val="14"/>
        <color rgb="FF000000"/>
        <rFont val="Arial"/>
        <family val="2"/>
        <charset val="1"/>
      </rPr>
      <t xml:space="preserve">38000 Grenoble
  </t>
    </r>
    <r>
      <rPr>
        <b val="true"/>
        <sz val="14"/>
        <color rgb="FFFF0000"/>
        <rFont val="Arial"/>
        <family val="2"/>
        <charset val="1"/>
      </rPr>
      <t xml:space="preserve">UNIQUEMENT LE LUNDI
</t>
    </r>
    <r>
      <rPr>
        <sz val="14"/>
        <color rgb="FF000000"/>
        <rFont val="Arial"/>
        <family val="2"/>
        <charset val="1"/>
      </rPr>
      <t xml:space="preserve">
lundi         </t>
    </r>
    <r>
      <rPr>
        <b val="true"/>
        <sz val="14"/>
        <color rgb="FFFF0000"/>
        <rFont val="Arial"/>
        <family val="2"/>
        <charset val="1"/>
      </rPr>
      <t xml:space="preserve">  Avant 10H !!!!!
</t>
    </r>
    <r>
      <rPr>
        <sz val="14"/>
        <color rgb="FF000000"/>
        <rFont val="Arial"/>
        <family val="2"/>
        <charset val="1"/>
      </rPr>
      <t xml:space="preserve">mardi au vendredi         07:00–22:00</t>
    </r>
  </si>
  <si>
    <t xml:space="preserve">Papiers
Cartons
Canettes
Bouteilles plastique
Capsules café
Verres
Piles
Masques</t>
  </si>
  <si>
    <r>
      <rPr>
        <b val="true"/>
        <sz val="14"/>
        <color theme="1"/>
        <rFont val="Arial"/>
        <family val="2"/>
        <charset val="1"/>
      </rPr>
      <t xml:space="preserve">(8276) CERA_RESEAU ISERE SUD_70029 (Alpes City) </t>
    </r>
    <r>
      <rPr>
        <b val="true"/>
        <sz val="22"/>
        <color rgb="FF1616FA"/>
        <rFont val="Arial"/>
        <family val="2"/>
        <charset val="1"/>
      </rPr>
      <t xml:space="preserve">A/C</t>
    </r>
    <r>
      <rPr>
        <sz val="14"/>
        <color theme="1"/>
        <rFont val="Arial"/>
        <family val="2"/>
        <charset val="1"/>
      </rPr>
      <t xml:space="preserve"> 14 Rue Léon Sestier 38000 Grenoble  Si cartons avec documents mettre au broyage avec pesée séparée pour la facturation de la destruction </t>
    </r>
  </si>
  <si>
    <t xml:space="preserve">Papier
Carton</t>
  </si>
  <si>
    <r>
      <rPr>
        <b val="true"/>
        <sz val="14"/>
        <color rgb="FF000000"/>
        <rFont val="Arial"/>
        <family val="2"/>
        <charset val="1"/>
      </rPr>
      <t xml:space="preserve">(68042) Banque de Savoie ST JEAN DE MAURIENNE
</t>
    </r>
    <r>
      <rPr>
        <sz val="14"/>
        <color rgb="FF000000"/>
        <rFont val="Arial"/>
        <family val="2"/>
        <charset val="1"/>
      </rPr>
      <t xml:space="preserve">PLACE FODERE
73300 ST JEAN DE MAURIENNE
Lundi au Jeudi : 8h30-12h / 13h30-17h30
Vendredi : 8h30-12h / 13h30-16h20</t>
    </r>
  </si>
  <si>
    <r>
      <rPr>
        <b val="true"/>
        <sz val="14"/>
        <color rgb="FF000000"/>
        <rFont val="Arial"/>
        <family val="2"/>
        <charset val="1"/>
      </rPr>
      <t xml:space="preserve">(68009) Banque Populaire AURA </t>
    </r>
    <r>
      <rPr>
        <b val="true"/>
        <u val="single"/>
        <sz val="14"/>
        <color rgb="FFFF0000"/>
        <rFont val="Arial"/>
        <family val="2"/>
        <charset val="1"/>
      </rPr>
      <t xml:space="preserve">SIEGE </t>
    </r>
    <r>
      <rPr>
        <b val="true"/>
        <sz val="14"/>
        <color rgb="FF000000"/>
        <rFont val="Arial"/>
        <family val="2"/>
        <charset val="1"/>
      </rPr>
      <t xml:space="preserve">CORENC</t>
    </r>
    <r>
      <rPr>
        <sz val="14"/>
        <color rgb="FF000000"/>
        <rFont val="Arial"/>
        <family val="2"/>
        <charset val="1"/>
      </rPr>
      <t xml:space="preserve"> 2 av du grésivaudan 38700 CORENC  8h30-11h30 et 13h30-16h30 </t>
    </r>
    <r>
      <rPr>
        <b val="true"/>
        <sz val="14"/>
        <color rgb="FF000000"/>
        <rFont val="Arial"/>
        <family val="2"/>
        <charset val="1"/>
      </rPr>
      <t xml:space="preserve"> </t>
    </r>
    <r>
      <rPr>
        <b val="true"/>
        <sz val="14"/>
        <color rgb="FFFF0000"/>
        <rFont val="Arial"/>
        <family val="2"/>
        <charset val="1"/>
      </rPr>
      <t xml:space="preserve">BADGE + PROTOCOLE DE COLLECTE OBLIGATOIRE</t>
    </r>
  </si>
  <si>
    <t xml:space="preserve">Multidéchets
Papier
Carton
Verre</t>
  </si>
  <si>
    <r>
      <rPr>
        <b val="true"/>
        <sz val="14"/>
        <color rgb="FF000000"/>
        <rFont val="Arial"/>
        <family val="2"/>
        <charset val="1"/>
      </rPr>
      <t xml:space="preserve">(24599) DIABELOOP A/B
</t>
    </r>
    <r>
      <rPr>
        <sz val="14"/>
        <color rgb="FF000000"/>
        <rFont val="Arial"/>
        <family val="2"/>
        <charset val="1"/>
      </rPr>
      <t xml:space="preserve">17, rue Felix Esclangon / Bât BHT2
38000 GRENOBLE
</t>
    </r>
    <r>
      <rPr>
        <b val="true"/>
        <sz val="14"/>
        <color rgb="FF000000"/>
        <rFont val="Arial"/>
        <family val="2"/>
        <charset val="1"/>
      </rPr>
      <t xml:space="preserve">360P,360MD,770MD
</t>
    </r>
    <r>
      <rPr>
        <b val="true"/>
        <sz val="14"/>
        <color rgb="FFFF0000"/>
        <rFont val="Arial"/>
        <family val="2"/>
        <charset val="1"/>
      </rPr>
      <t xml:space="preserve">T</t>
    </r>
    <r>
      <rPr>
        <b val="true"/>
        <sz val="16"/>
        <color rgb="FFFF0000"/>
        <rFont val="Arial"/>
        <family val="2"/>
        <charset val="1"/>
      </rPr>
      <t xml:space="preserve">ous les bacs sont sécurisés
</t>
    </r>
    <r>
      <rPr>
        <b val="true"/>
        <sz val="14"/>
        <color rgb="FF000000"/>
        <rFont val="Arial"/>
        <family val="2"/>
        <charset val="1"/>
      </rPr>
      <t xml:space="preserve">Arrière du batiment sonner portail
</t>
    </r>
    <r>
      <rPr>
        <sz val="14"/>
        <color rgb="FF000000"/>
        <rFont val="Arial"/>
        <family val="2"/>
        <charset val="1"/>
      </rPr>
      <t xml:space="preserve">Myriam NAMIAS-MUNTLAK 
06 60 56 52 06</t>
    </r>
  </si>
  <si>
    <t xml:space="preserve">Papier 
Cartons
Gobelets carton
Canettes
Bouteilles plastique
Piles
Verres
 Masques </t>
  </si>
  <si>
    <r>
      <rPr>
        <b val="true"/>
        <sz val="14"/>
        <color theme="1"/>
        <rFont val="Arial"/>
        <family val="2"/>
        <charset val="1"/>
      </rPr>
      <t xml:space="preserve">(8276) CERA_RESEAU ISERE SUD_70029 (Alpes City) </t>
    </r>
    <r>
      <rPr>
        <b val="true"/>
        <sz val="22"/>
        <color rgb="FF1616FA"/>
        <rFont val="Arial"/>
        <family val="2"/>
        <charset val="1"/>
      </rPr>
      <t xml:space="preserve">A/C
</t>
    </r>
    <r>
      <rPr>
        <sz val="14"/>
        <color theme="1"/>
        <rFont val="Arial"/>
        <family val="2"/>
        <charset val="1"/>
      </rPr>
      <t xml:space="preserve">14 Rue Léon Sestier
38000 Grenoble</t>
    </r>
  </si>
  <si>
    <r>
      <rPr>
        <b val="true"/>
        <sz val="14"/>
        <color rgb="FF000000"/>
        <rFont val="Arial"/>
        <family val="2"/>
        <charset val="1"/>
      </rPr>
      <t xml:space="preserve">(68041) Banque Populaire AURA St-JEAN-de-MAURIENNE 
</t>
    </r>
    <r>
      <rPr>
        <sz val="14"/>
        <color rgb="FF000000"/>
        <rFont val="Arial"/>
        <family val="2"/>
        <charset val="1"/>
      </rPr>
      <t xml:space="preserve">108, rue de la libération
73300St-JEAN-de-MAURIENNE 
Mardi Mercredi Vendredi 
8h30 - 12h30 et 13h45 à 17h45
le Jeudi
8h30 - 12h00 et 13h45 à 17h45</t>
    </r>
  </si>
  <si>
    <r>
      <rPr>
        <b val="true"/>
        <sz val="14"/>
        <color rgb="FF000000"/>
        <rFont val="Arial"/>
        <family val="2"/>
        <charset val="1"/>
      </rPr>
      <t xml:space="preserve">(72600) NANOXPLORE MEYLAN A/B
</t>
    </r>
    <r>
      <rPr>
        <sz val="14"/>
        <color rgb="FF000000"/>
        <rFont val="Arial"/>
        <family val="2"/>
        <charset val="1"/>
      </rPr>
      <t xml:space="preserve">1 Bis A Chemin du Pré Carré
38240 MEYLAN
9h-12h et 14h-17h
</t>
    </r>
    <r>
      <rPr>
        <b val="true"/>
        <sz val="14"/>
        <color rgb="FF000000"/>
        <rFont val="Arial"/>
        <family val="2"/>
        <charset val="1"/>
      </rPr>
      <t xml:space="preserve">Collecte à la corbeille Papiers + </t>
    </r>
    <r>
      <rPr>
        <b val="true"/>
        <sz val="14"/>
        <color rgb="FFFF0000"/>
        <rFont val="Arial"/>
        <family val="2"/>
        <charset val="1"/>
      </rPr>
      <t xml:space="preserve">1 Bioseau 20L</t>
    </r>
  </si>
  <si>
    <t xml:space="preserve">Bio-déchets
1x Bioseau 20L</t>
  </si>
  <si>
    <t xml:space="preserve">Biodéchets
Papier</t>
  </si>
  <si>
    <r>
      <rPr>
        <b val="true"/>
        <sz val="14"/>
        <color rgb="FF000000"/>
        <rFont val="Arial"/>
        <family val="2"/>
        <charset val="1"/>
      </rPr>
      <t xml:space="preserve">(24783) Minatec Esclangon BHT2 B/B
</t>
    </r>
    <r>
      <rPr>
        <sz val="14"/>
        <color rgb="FF000000"/>
        <rFont val="Arial"/>
        <family val="2"/>
        <charset val="1"/>
      </rPr>
      <t xml:space="preserve">17 Rue Felix Esclangon
Bâtiment BHT2
38000 GRENOBLE
</t>
    </r>
    <r>
      <rPr>
        <b val="true"/>
        <sz val="14"/>
        <color rgb="FF000000"/>
        <rFont val="Arial"/>
        <family val="2"/>
        <charset val="1"/>
      </rPr>
      <t xml:space="preserve">1x360 Papiers/Cartons + 1x360 MD</t>
    </r>
  </si>
  <si>
    <t xml:space="preserve">Papiers
Cartons
Bouteilles PET
Gobelets cartons
Canettes
Piles (ALD)
DEEE (ALD)</t>
  </si>
  <si>
    <r>
      <rPr>
        <b val="true"/>
        <sz val="14"/>
        <color rgb="FF000000"/>
        <rFont val="Arial"/>
        <family val="2"/>
        <charset val="1"/>
      </rPr>
      <t xml:space="preserve">(24812) ONET SECURITE TELEM Grenoble </t>
    </r>
    <r>
      <rPr>
        <b val="true"/>
        <sz val="20"/>
        <color rgb="FF1616FA"/>
        <rFont val="Arial"/>
        <family val="2"/>
        <charset val="1"/>
      </rPr>
      <t xml:space="preserve">C/C
</t>
    </r>
    <r>
      <rPr>
        <sz val="14"/>
        <color rgb="FF000000"/>
        <rFont val="Arial"/>
        <family val="2"/>
        <charset val="1"/>
      </rPr>
      <t xml:space="preserve">1, rue Antoine Polotti
38000 Grenoble
</t>
    </r>
    <r>
      <rPr>
        <b val="true"/>
        <sz val="14"/>
        <color rgb="FF000000"/>
        <rFont val="Arial"/>
        <family val="2"/>
        <charset val="1"/>
      </rPr>
      <t xml:space="preserve">1x360 Papiers SECU + 1x770 MD</t>
    </r>
  </si>
  <si>
    <t xml:space="preserve">Papiers
Cartons
Canettes
Bouteilles plastique
Verres
Ampoule ALD</t>
  </si>
  <si>
    <r>
      <rPr>
        <b val="true"/>
        <sz val="14"/>
        <color theme="1"/>
        <rFont val="Aptos Narrow"/>
        <family val="2"/>
        <charset val="1"/>
      </rPr>
      <t xml:space="preserve">(48098) MAAF-ST JEAN DE MAURIENNE
</t>
    </r>
    <r>
      <rPr>
        <sz val="14"/>
        <color rgb="FF000000"/>
        <rFont val="Arial"/>
        <family val="2"/>
        <charset val="1"/>
      </rPr>
      <t xml:space="preserve">153 place Fodere 
73300 ST JEAN DE MAURIENNE 
Mardi au Vendredi : 9h-12h30 / 14h-18h 
</t>
    </r>
    <r>
      <rPr>
        <b val="true"/>
        <sz val="14"/>
        <rFont val="Aptos Narrow"/>
        <family val="2"/>
        <charset val="1"/>
      </rPr>
      <t xml:space="preserve">Collecte à la corbeille</t>
    </r>
  </si>
  <si>
    <r>
      <rPr>
        <b val="true"/>
        <sz val="14"/>
        <color rgb="FF000000"/>
        <rFont val="Arial"/>
        <family val="2"/>
        <charset val="1"/>
      </rPr>
      <t xml:space="preserve">(62234) Dolphin SEMICONDUCTOR B/B
</t>
    </r>
    <r>
      <rPr>
        <sz val="14"/>
        <color rgb="FF000000"/>
        <rFont val="Arial"/>
        <family val="2"/>
        <charset val="1"/>
      </rPr>
      <t xml:space="preserve">(track déchets 9423)
1bisA, Chem. du Pré Carré
38240 Meylan
lundi   vendredi           08:45–20:00
</t>
    </r>
    <r>
      <rPr>
        <b val="true"/>
        <sz val="14"/>
        <color rgb="FFFF0000"/>
        <rFont val="Arial"/>
        <family val="2"/>
        <charset val="1"/>
      </rPr>
      <t xml:space="preserve">! Pas de collecte avant 8h45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BIEN RECUPERER LES DECHETS EN VERRE DANS LES BAC VERRE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360Psécu,770MDsécu (sacs)</t>
    </r>
  </si>
  <si>
    <t xml:space="preserve">Papiers
Cartons
Gobelets carton
canettes
Bouteilles plastique
Capsules café
Piles
Ampoules
Masques
</t>
  </si>
  <si>
    <r>
      <rPr>
        <b val="true"/>
        <sz val="14"/>
        <color rgb="FF000000"/>
        <rFont val="Arial"/>
        <family val="2"/>
        <charset val="1"/>
      </rPr>
      <t xml:space="preserve">(87450) APARTHOTEL ADAGIO GRENOBLE CENTRE
</t>
    </r>
    <r>
      <rPr>
        <sz val="14"/>
        <color rgb="FF000000"/>
        <rFont val="Arial"/>
        <family val="2"/>
        <charset val="1"/>
      </rPr>
      <t xml:space="preserve">6 Rue Auguste Genin 
38000 Grenoble
HB2R8-GM@adagio-city.com
0476392000</t>
    </r>
  </si>
  <si>
    <r>
      <rPr>
        <b val="true"/>
        <sz val="14"/>
        <color rgb="FF000000"/>
        <rFont val="Arial"/>
        <family val="2"/>
        <charset val="1"/>
      </rPr>
      <t xml:space="preserve">(34905) GIE ELEGIA B/C
</t>
    </r>
    <r>
      <rPr>
        <sz val="14"/>
        <color rgb="FF000000"/>
        <rFont val="Arial"/>
        <family val="2"/>
        <charset val="1"/>
      </rPr>
      <t xml:space="preserve">Rue Leon Sestier
38000 Grenoble
</t>
    </r>
    <r>
      <rPr>
        <b val="true"/>
        <sz val="14"/>
        <color rgb="FFFF0000"/>
        <rFont val="Arial"/>
        <family val="2"/>
        <charset val="1"/>
      </rPr>
      <t xml:space="preserve">BADGE
Accès par garage mais ne as rentrer le camion en plein à cause de la hauteur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1X770 DIB, 1X120 BIODECHETS, 1X360 PAPIER 
</t>
    </r>
    <r>
      <rPr>
        <b val="true"/>
        <sz val="14"/>
        <color rgb="FFFF0000"/>
        <rFont val="Arial"/>
        <family val="2"/>
        <charset val="1"/>
      </rPr>
      <t xml:space="preserve">TOUT LES BACS SONT SECURISES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u val="single"/>
        <sz val="14"/>
        <color theme="9" tint="-0.25"/>
        <rFont val="Arial"/>
        <family val="2"/>
        <charset val="1"/>
      </rPr>
      <t xml:space="preserve">Il n'est pas nécessaire de monter faire tamponner la feuille</t>
    </r>
  </si>
  <si>
    <r>
      <rPr>
        <b val="true"/>
        <sz val="14"/>
        <color rgb="FF000000"/>
        <rFont val="Arial"/>
        <family val="2"/>
        <charset val="1"/>
      </rPr>
      <t xml:space="preserve">(24642) ENTREPOT du BRICOLAGE Saint Jean de Maurienne
</t>
    </r>
    <r>
      <rPr>
        <sz val="14"/>
        <color rgb="FF000000"/>
        <rFont val="Arial"/>
        <family val="2"/>
        <charset val="1"/>
      </rPr>
      <t xml:space="preserve"> Zone commerciale
 Lieu dit, Chem. de Combe Paillarde
73300 Saint-Jean-de-Maurienne
</t>
    </r>
    <r>
      <rPr>
        <b val="true"/>
        <sz val="14"/>
        <color rgb="FF000000"/>
        <rFont val="Arial"/>
        <family val="2"/>
        <charset val="1"/>
      </rPr>
      <t xml:space="preserve">1x360 Papiers + 1x770 MD</t>
    </r>
  </si>
  <si>
    <t xml:space="preserve">Papier</t>
  </si>
  <si>
    <r>
      <rPr>
        <b val="true"/>
        <sz val="14"/>
        <color rgb="FF000000"/>
        <rFont val="Arial"/>
        <family val="2"/>
        <charset val="1"/>
      </rPr>
      <t xml:space="preserve">(24717) HYDROQUEST </t>
    </r>
    <r>
      <rPr>
        <b val="true"/>
        <sz val="18"/>
        <color rgb="FF1616FA"/>
        <rFont val="Arial"/>
        <family val="2"/>
        <charset val="1"/>
      </rPr>
      <t xml:space="preserve">A/D
</t>
    </r>
    <r>
      <rPr>
        <sz val="14"/>
        <color rgb="FF000000"/>
        <rFont val="Arial"/>
        <family val="2"/>
        <charset val="1"/>
      </rPr>
      <t xml:space="preserve">16 chemin de Malacher
Batiment B
1er étage
38240 Meylan
</t>
    </r>
    <r>
      <rPr>
        <b val="true"/>
        <sz val="14"/>
        <color rgb="FF000000"/>
        <rFont val="Arial"/>
        <family val="2"/>
        <charset val="1"/>
      </rPr>
      <t xml:space="preserve">Sacs</t>
    </r>
  </si>
  <si>
    <r>
      <rPr>
        <b val="true"/>
        <sz val="14"/>
        <color rgb="FF000000"/>
        <rFont val="Arial"/>
        <family val="2"/>
        <charset val="1"/>
      </rPr>
      <t xml:space="preserve">(24573) COLLEGE  INTERNATIONNAL EUROPOLE I/I
</t>
    </r>
    <r>
      <rPr>
        <sz val="14"/>
        <color rgb="FF000000"/>
        <rFont val="Arial"/>
        <family val="2"/>
        <charset val="1"/>
      </rPr>
      <t xml:space="preserve">4 Place de Sfax
38000 Grenoble
</t>
    </r>
    <r>
      <rPr>
        <b val="true"/>
        <sz val="14"/>
        <color rgb="FF000000"/>
        <rFont val="Arial"/>
        <family val="2"/>
        <charset val="1"/>
      </rPr>
      <t xml:space="preserve">3X360P</t>
    </r>
  </si>
  <si>
    <r>
      <rPr>
        <b val="true"/>
        <sz val="14"/>
        <color rgb="FF000000"/>
        <rFont val="Arial"/>
        <family val="2"/>
        <charset val="1"/>
      </rPr>
      <t xml:space="preserve">(83823) BOUYGUES BATIMENT SUD EST CHANTIER ARLEQUIN 10
</t>
    </r>
    <r>
      <rPr>
        <sz val="14"/>
        <color rgb="FF000000"/>
        <rFont val="Arial"/>
        <family val="2"/>
        <charset val="1"/>
      </rPr>
      <t xml:space="preserve">10 Galerie de l'Arlequin
38100 GRENOBLE
</t>
    </r>
    <r>
      <rPr>
        <b val="true"/>
        <sz val="14"/>
        <color rgb="FF000000"/>
        <rFont val="Arial"/>
        <family val="2"/>
        <charset val="1"/>
      </rPr>
      <t xml:space="preserve">
Lundi au Vendredi : 7h-17h
1x240 Papiers + 1x360 MD</t>
    </r>
  </si>
  <si>
    <t xml:space="preserve">Papiers
Bouteilles PET
Canettes
Gobelets Cartons</t>
  </si>
  <si>
    <r>
      <rPr>
        <b val="true"/>
        <sz val="14"/>
        <color rgb="FF000000"/>
        <rFont val="Arial"/>
        <family val="2"/>
        <charset val="1"/>
      </rPr>
      <t xml:space="preserve">(8808) France Travail Saint Jean de Maurienne
</t>
    </r>
    <r>
      <rPr>
        <sz val="14"/>
        <color rgb="FF000000"/>
        <rFont val="Arial"/>
        <family val="2"/>
        <charset val="1"/>
      </rPr>
      <t xml:space="preserve">310 Rue Jean Moulin
73300 Saint-Jean-de-Maurienne
lundi-vendredi     08:30–16h
</t>
    </r>
    <r>
      <rPr>
        <b val="true"/>
        <sz val="14"/>
        <color rgb="FFFF0000"/>
        <rFont val="Arial"/>
        <family val="2"/>
        <charset val="1"/>
      </rPr>
      <t xml:space="preserve">JEUDI 8h30-12h
</t>
    </r>
  </si>
  <si>
    <t xml:space="preserve">1*360 papiers cartons 
1*360 MD</t>
  </si>
  <si>
    <r>
      <rPr>
        <b val="true"/>
        <sz val="14"/>
        <color rgb="FF000000"/>
        <rFont val="Arial"/>
        <family val="2"/>
        <charset val="1"/>
      </rPr>
      <t xml:space="preserve">(24860) SAMES KREMLIN </t>
    </r>
    <r>
      <rPr>
        <b val="true"/>
        <sz val="18"/>
        <color rgb="FF1616FA"/>
        <rFont val="Arial"/>
        <family val="2"/>
        <charset val="1"/>
      </rPr>
      <t xml:space="preserve">B/D
</t>
    </r>
    <r>
      <rPr>
        <sz val="14"/>
        <color rgb="FF000000"/>
        <rFont val="Arial"/>
        <family val="2"/>
        <charset val="1"/>
      </rPr>
      <t xml:space="preserve">13 Chem. de Malacher
38240 Meylan
lundi  au vendredi    08:00–18:00
</t>
    </r>
    <r>
      <rPr>
        <b val="true"/>
        <sz val="18"/>
        <color rgb="FFFF0000"/>
        <rFont val="Arial"/>
        <family val="2"/>
        <charset val="1"/>
      </rPr>
      <t xml:space="preserve">SAMES nous impose la signature d'un BON DE PASSAGE à chaque collecte.
</t>
    </r>
    <r>
      <rPr>
        <b val="true"/>
        <sz val="14"/>
        <color rgb="FF000000"/>
        <rFont val="Arial"/>
        <family val="2"/>
        <charset val="1"/>
      </rPr>
      <t xml:space="preserve">
Envoyer l'ODM signé à Mr REY
Olivier.rey@sames.com</t>
    </r>
  </si>
  <si>
    <t xml:space="preserve">Papier
Carton
Gobelets carton
Canettes
Bouteilles plastique
Cartouches encre
Piles
D3E ALD (120)</t>
  </si>
  <si>
    <r>
      <rPr>
        <b val="true"/>
        <sz val="14"/>
        <color rgb="FF000000"/>
        <rFont val="Arial"/>
        <family val="2"/>
        <charset val="1"/>
      </rPr>
      <t xml:space="preserve">(24528) CCI Grenoble A/E
</t>
    </r>
    <r>
      <rPr>
        <sz val="14"/>
        <color rgb="FF000000"/>
        <rFont val="Arial"/>
        <family val="2"/>
        <charset val="1"/>
      </rPr>
      <t xml:space="preserve">5-7 place Schuman
38000 Grenoble
MNE Pares 06 03 91 42 77 
</t>
    </r>
    <r>
      <rPr>
        <b val="true"/>
        <sz val="14"/>
        <color rgb="FF000000"/>
        <rFont val="Arial"/>
        <family val="2"/>
        <charset val="1"/>
      </rPr>
      <t xml:space="preserve">360P,2x360MD
DEMANDER MME BEL OU MR GAIRALDI</t>
    </r>
  </si>
  <si>
    <t xml:space="preserve">Papier
Carton
BP
GC</t>
  </si>
  <si>
    <r>
      <rPr>
        <b val="true"/>
        <sz val="14"/>
        <color rgb="FF000000"/>
        <rFont val="Arial"/>
        <family val="2"/>
        <charset val="1"/>
      </rPr>
      <t xml:space="preserve">(24754) LHOIST FRANCE OUEST
</t>
    </r>
    <r>
      <rPr>
        <sz val="14"/>
        <color rgb="FF000000"/>
        <rFont val="Arial"/>
        <family val="2"/>
        <charset val="1"/>
      </rPr>
      <t xml:space="preserve">15 rue Henri DAGALIER
38100 Grenoble
</t>
    </r>
    <r>
      <rPr>
        <b val="true"/>
        <sz val="14"/>
        <color rgb="FF000000"/>
        <rFont val="Arial"/>
        <family val="2"/>
        <charset val="1"/>
      </rPr>
      <t xml:space="preserve">
2X360 Papiers + 1x770 Cartons</t>
    </r>
  </si>
  <si>
    <t xml:space="preserve">Papiers
Cartons
Cartouche encre
Piles
DEEE
Ampoules
Néons
</t>
  </si>
  <si>
    <r>
      <rPr>
        <b val="true"/>
        <sz val="14"/>
        <color rgb="FF000000"/>
        <rFont val="Arial"/>
        <family val="2"/>
        <charset val="1"/>
      </rPr>
      <t xml:space="preserve">(24669) EUROFINS LABAZUR Saint Jean Jean de Mauriennne
</t>
    </r>
    <r>
      <rPr>
        <sz val="14"/>
        <color rgb="FF000000"/>
        <rFont val="Arial"/>
        <family val="2"/>
        <charset val="1"/>
      </rPr>
      <t xml:space="preserve">Pl. Fodéré
73300 Saint-Jean-de-Maurienne
Lundi au vendredi : 07h30–11h00 / 14h00–16h00
</t>
    </r>
    <r>
      <rPr>
        <b val="true"/>
        <sz val="14"/>
        <color rgb="FF000000"/>
        <rFont val="Arial"/>
        <family val="2"/>
        <charset val="1"/>
      </rPr>
      <t xml:space="preserve">1x360 Papiers
</t>
    </r>
  </si>
  <si>
    <t xml:space="preserve">Papiers </t>
  </si>
  <si>
    <r>
      <rPr>
        <b val="true"/>
        <sz val="14"/>
        <color rgb="FF000000"/>
        <rFont val="Arial"/>
        <family val="2"/>
        <charset val="1"/>
      </rPr>
      <t xml:space="preserve">(24904) ANDERLAINE (Ex : SR Conseil) MEYLAN</t>
    </r>
    <r>
      <rPr>
        <b val="true"/>
        <sz val="22"/>
        <color rgb="FF00B0F0"/>
        <rFont val="Arial"/>
        <family val="2"/>
        <charset val="1"/>
      </rPr>
      <t xml:space="preserve"> </t>
    </r>
    <r>
      <rPr>
        <b val="true"/>
        <sz val="18"/>
        <color rgb="FF1616FA"/>
        <rFont val="Arial"/>
        <family val="2"/>
        <charset val="1"/>
      </rPr>
      <t xml:space="preserve">C/D
</t>
    </r>
    <r>
      <rPr>
        <sz val="14"/>
        <color rgb="FF000000"/>
        <rFont val="Arial"/>
        <family val="2"/>
        <charset val="1"/>
      </rPr>
      <t xml:space="preserve">15 Chemin de Malacher
38240 Meylan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PROTOCOLE OBLIGATOIRE
</t>
    </r>
    <r>
      <rPr>
        <b val="true"/>
        <sz val="14"/>
        <color rgb="FF000000"/>
        <rFont val="Arial"/>
        <family val="2"/>
        <charset val="1"/>
      </rPr>
      <t xml:space="preserve">
Sacs</t>
    </r>
  </si>
  <si>
    <t xml:space="preserve">Papiers
Cartons
Gobelets carton
Capsules café</t>
  </si>
  <si>
    <r>
      <rPr>
        <b val="true"/>
        <sz val="14"/>
        <color rgb="FF000000"/>
        <rFont val="Arial"/>
        <family val="2"/>
        <charset val="1"/>
      </rPr>
      <t xml:space="preserve">(24921) TRANSITIONS PRO B/E
</t>
    </r>
    <r>
      <rPr>
        <sz val="14"/>
        <color rgb="FF000000"/>
        <rFont val="Arial"/>
        <family val="2"/>
        <charset val="1"/>
      </rPr>
      <t xml:space="preserve">9 place Robert Schuman
38000 Grenoble
</t>
    </r>
    <r>
      <rPr>
        <b val="true"/>
        <sz val="14"/>
        <color rgb="FFFF0000"/>
        <rFont val="Arial"/>
        <family val="2"/>
        <charset val="1"/>
      </rPr>
      <t xml:space="preserve">FAIRE LES 2 ETAGES</t>
    </r>
  </si>
  <si>
    <t xml:space="preserve">Papier
Carton
Bouteille PET
GC
Piles
Toner
</t>
  </si>
  <si>
    <r>
      <rPr>
        <b val="true"/>
        <sz val="14"/>
        <color rgb="FF000000"/>
        <rFont val="Arial"/>
        <family val="2"/>
        <charset val="1"/>
      </rPr>
      <t xml:space="preserve">(24563) CLINIQUE D'ALLEMBERT
</t>
    </r>
    <r>
      <rPr>
        <sz val="14"/>
        <color rgb="FF000000"/>
        <rFont val="Arial"/>
        <family val="2"/>
        <charset val="1"/>
      </rPr>
      <t xml:space="preserve">124 Rue D'Allembert
38000 GRENOBLE
</t>
    </r>
    <r>
      <rPr>
        <b val="true"/>
        <sz val="14"/>
        <color rgb="FF000000"/>
        <rFont val="Arial"/>
        <family val="2"/>
        <charset val="1"/>
      </rPr>
      <t xml:space="preserve">06 14 18 63 44
</t>
    </r>
    <r>
      <rPr>
        <b val="true"/>
        <sz val="14"/>
        <color rgb="FFFF0000"/>
        <rFont val="Arial"/>
        <family val="2"/>
        <charset val="1"/>
      </rPr>
      <t xml:space="preserve">Bacs sécu AVEC FENTES
PROTOCOLE DE COLLECTE OBLIGATOIRE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15x360 sécu avec fentes donc </t>
    </r>
    <r>
      <rPr>
        <b val="true"/>
        <u val="single"/>
        <sz val="14"/>
        <color rgb="FFFF0000"/>
        <rFont val="Arial"/>
        <family val="2"/>
        <charset val="1"/>
      </rPr>
      <t xml:space="preserve">2 aller-retour pour ce client</t>
    </r>
  </si>
  <si>
    <r>
      <rPr>
        <b val="true"/>
        <sz val="14"/>
        <color rgb="FF000000"/>
        <rFont val="Arial"/>
        <family val="2"/>
        <charset val="1"/>
      </rPr>
      <t xml:space="preserve">(24902) ANDERLAINE (Ex : SR Conseil) HERMILLON
</t>
    </r>
    <r>
      <rPr>
        <sz val="14"/>
        <color rgb="FF000000"/>
        <rFont val="Arial"/>
        <family val="2"/>
        <charset val="1"/>
      </rPr>
      <t xml:space="preserve">Au Pont d'Arc
HERMILLON
73300 La Tour en Maurienne
</t>
    </r>
    <r>
      <rPr>
        <b val="true"/>
        <sz val="14"/>
        <color rgb="FF000000"/>
        <rFont val="Arial"/>
        <family val="2"/>
        <charset val="1"/>
      </rPr>
      <t xml:space="preserve">
Sacs
</t>
    </r>
  </si>
  <si>
    <t xml:space="preserve">Papiers
Bouteilles plastique
Capsules café</t>
  </si>
  <si>
    <r>
      <rPr>
        <b val="true"/>
        <sz val="14"/>
        <color rgb="FF000000"/>
        <rFont val="Arial"/>
        <family val="2"/>
        <charset val="1"/>
      </rPr>
      <t xml:space="preserve">(71826) CESI MEYLAN </t>
    </r>
    <r>
      <rPr>
        <b val="true"/>
        <sz val="18"/>
        <color rgb="FF1616FA"/>
        <rFont val="Arial"/>
        <family val="2"/>
        <charset val="1"/>
      </rPr>
      <t xml:space="preserve">D/D
</t>
    </r>
    <r>
      <rPr>
        <sz val="14"/>
        <color rgb="FF000000"/>
        <rFont val="Arial"/>
        <family val="2"/>
        <charset val="1"/>
      </rPr>
      <t xml:space="preserve">16 Chemin de Malacher
38240 MEYLAN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0438701180
8h-17h30
</t>
    </r>
    <r>
      <rPr>
        <b val="true"/>
        <sz val="14"/>
        <color rgb="FF000000"/>
        <rFont val="Arial"/>
        <family val="2"/>
        <charset val="1"/>
      </rPr>
      <t xml:space="preserve">2 Bioseaux de 20L pour marc de café</t>
    </r>
  </si>
  <si>
    <t xml:space="preserve">Bio-déchets
2 Bioseaux 20L</t>
  </si>
  <si>
    <r>
      <rPr>
        <b val="true"/>
        <sz val="14"/>
        <color rgb="FF000000"/>
        <rFont val="Arial"/>
        <family val="2"/>
        <charset val="1"/>
      </rPr>
      <t xml:space="preserve">(62207) APIVIA MACIF MUTUELLE D/E
</t>
    </r>
    <r>
      <rPr>
        <sz val="14"/>
        <color rgb="FF000000"/>
        <rFont val="Arial"/>
        <family val="2"/>
        <charset val="1"/>
      </rPr>
      <t xml:space="preserve">4-6 Place Robert Schuman 
38000 GRENOBLE
</t>
    </r>
    <r>
      <rPr>
        <b val="true"/>
        <sz val="14"/>
        <color rgb="FF000000"/>
        <rFont val="Arial"/>
        <family val="2"/>
        <charset val="1"/>
      </rPr>
      <t xml:space="preserve">Collecte en sac
</t>
    </r>
    <r>
      <rPr>
        <b val="true"/>
        <sz val="14"/>
        <color rgb="FFFF0000"/>
        <rFont val="Arial"/>
        <family val="2"/>
        <charset val="1"/>
      </rPr>
      <t xml:space="preserve">PROTOCOLE OBLIGATOIRE</t>
    </r>
  </si>
  <si>
    <t xml:space="preserve">Papier
Carton
Bouteille Plastique et Verre
Canettes
Gobelet carton
Capsule Café
Mégôts ALD</t>
  </si>
  <si>
    <r>
      <rPr>
        <b val="true"/>
        <sz val="14"/>
        <color rgb="FF000000"/>
        <rFont val="Arial"/>
        <family val="2"/>
        <charset val="1"/>
      </rPr>
      <t xml:space="preserve">(60072) GRIE de l'immeuble Horizon A/B
</t>
    </r>
    <r>
      <rPr>
        <sz val="14"/>
        <color rgb="FF000000"/>
        <rFont val="Arial"/>
        <family val="2"/>
        <charset val="1"/>
      </rPr>
      <t xml:space="preserve">4 rue Germaine VEYRET VERNER
38130 Echirolles
</t>
    </r>
    <r>
      <rPr>
        <b val="true"/>
        <sz val="14"/>
        <color rgb="FF000000"/>
        <rFont val="Arial"/>
        <family val="2"/>
        <charset val="1"/>
      </rPr>
      <t xml:space="preserve">
Local cuisine
06 61 18 30 25</t>
    </r>
  </si>
  <si>
    <t xml:space="preserve">1*240 Verre
2*240 MD
1*770 Carton</t>
  </si>
  <si>
    <r>
      <rPr>
        <b val="true"/>
        <sz val="14"/>
        <color rgb="FF000000"/>
        <rFont val="Arial"/>
        <family val="2"/>
        <charset val="1"/>
      </rPr>
      <t xml:space="preserve">(8330) CERA La Chambre
</t>
    </r>
    <r>
      <rPr>
        <sz val="14"/>
        <color rgb="FF000000"/>
        <rFont val="Arial"/>
        <family val="2"/>
        <charset val="1"/>
      </rPr>
      <t xml:space="preserve">Grande Rue
73130 La Chambre
lundi       Fermé
mardi-vendredi      09:15–12:30 / 13:30–18:00</t>
    </r>
  </si>
  <si>
    <r>
      <rPr>
        <b val="true"/>
        <sz val="14"/>
        <color rgb="FF000000"/>
        <rFont val="Arial"/>
        <family val="2"/>
        <charset val="1"/>
      </rPr>
      <t xml:space="preserve">(8700) LCL Meylan
</t>
    </r>
    <r>
      <rPr>
        <sz val="14"/>
        <color rgb="FF000000"/>
        <rFont val="Arial"/>
        <family val="2"/>
        <charset val="1"/>
      </rPr>
      <t xml:space="preserve">23 avenue du Grésivaudan
38240 Meylan
On les prend lorsqu'ils sont à plat et donc manipulables.
On les laisse s'il sont en vrac et non pliés!
</t>
    </r>
    <r>
      <rPr>
        <b val="true"/>
        <sz val="14"/>
        <color rgb="FF000000"/>
        <rFont val="Arial"/>
        <family val="2"/>
        <charset val="1"/>
      </rPr>
      <t xml:space="preserve">Sacs,cartons</t>
    </r>
  </si>
  <si>
    <r>
      <rPr>
        <b val="true"/>
        <sz val="14"/>
        <color rgb="FF000000"/>
        <rFont val="Arial"/>
        <family val="2"/>
        <charset val="1"/>
      </rPr>
      <t xml:space="preserve">(24782) Minatec BHT3 E/E
</t>
    </r>
    <r>
      <rPr>
        <sz val="14"/>
        <color rgb="FF000000"/>
        <rFont val="Arial"/>
        <family val="2"/>
        <charset val="1"/>
      </rPr>
      <t xml:space="preserve">69-71 Rue Félix Esclangon
38000 Grenoble
</t>
    </r>
    <r>
      <rPr>
        <b val="true"/>
        <sz val="14"/>
        <color rgb="FF000000"/>
        <rFont val="Arial"/>
        <family val="2"/>
        <charset val="1"/>
      </rPr>
      <t xml:space="preserve">
1x360 </t>
    </r>
    <r>
      <rPr>
        <b val="true"/>
        <u val="single"/>
        <sz val="14"/>
        <color rgb="FFFF0000"/>
        <rFont val="Arial"/>
        <family val="2"/>
        <charset val="1"/>
      </rPr>
      <t xml:space="preserve">SECU </t>
    </r>
    <r>
      <rPr>
        <b val="true"/>
        <sz val="14"/>
        <color rgb="FF000000"/>
        <rFont val="Arial"/>
        <family val="2"/>
        <charset val="1"/>
      </rPr>
      <t xml:space="preserve">"Papiers" + 1x770 </t>
    </r>
    <r>
      <rPr>
        <b val="true"/>
        <u val="single"/>
        <sz val="14"/>
        <color rgb="FFFF0000"/>
        <rFont val="Arial"/>
        <family val="2"/>
        <charset val="1"/>
      </rPr>
      <t xml:space="preserve">SECU </t>
    </r>
    <r>
      <rPr>
        <b val="true"/>
        <sz val="14"/>
        <color rgb="FF000000"/>
        <rFont val="Arial"/>
        <family val="2"/>
        <charset val="1"/>
      </rPr>
      <t xml:space="preserve">"MD"
</t>
    </r>
    <r>
      <rPr>
        <b val="true"/>
        <sz val="14"/>
        <color rgb="FFFF0000"/>
        <rFont val="Arial"/>
        <family val="2"/>
        <charset val="1"/>
      </rPr>
      <t xml:space="preserve">+ 1x240 "Verre" (ALD)</t>
    </r>
  </si>
  <si>
    <t xml:space="preserve">Papiers
Gobelets Cartons
Canettes
Bouteilles PET
Cartouches d'encre
Verre (ALD)</t>
  </si>
  <si>
    <r>
      <rPr>
        <b val="true"/>
        <sz val="14"/>
        <color rgb="FF000000"/>
        <rFont val="Arial"/>
        <family val="2"/>
        <charset val="1"/>
      </rPr>
      <t xml:space="preserve">(60402) ARTELIA HOLDING B/B
</t>
    </r>
    <r>
      <rPr>
        <sz val="14"/>
        <color rgb="FF000000"/>
        <rFont val="Arial"/>
        <family val="2"/>
        <charset val="1"/>
      </rPr>
      <t xml:space="preserve">4 rue Germaine VEYRET VERNER
38130 Echirolles
</t>
    </r>
    <r>
      <rPr>
        <b val="true"/>
        <sz val="14"/>
        <color rgb="FF000000"/>
        <rFont val="Arial"/>
        <family val="2"/>
        <charset val="1"/>
      </rPr>
      <t xml:space="preserve">
2x360 Papiers + 1x770 MD</t>
    </r>
  </si>
  <si>
    <t xml:space="preserve">S29 : 
LIVRAISON 50 AFFICHES REPOSITIONNABLES ESSUIS-MAINS
A DEPLACER AU MERCREDI 15/07</t>
  </si>
  <si>
    <t xml:space="preserve">2*360 Papier
+
1*770 MD</t>
  </si>
  <si>
    <r>
      <rPr>
        <b val="true"/>
        <sz val="14"/>
        <color rgb="FF000000"/>
        <rFont val="Arial"/>
        <family val="2"/>
        <charset val="1"/>
      </rPr>
      <t xml:space="preserve">(24503) CADS La Chambre
</t>
    </r>
    <r>
      <rPr>
        <sz val="14"/>
        <color rgb="FF000000"/>
        <rFont val="Arial"/>
        <family val="2"/>
        <charset val="1"/>
      </rPr>
      <t xml:space="preserve">321 Grande Rue
73130 La Chambre
lundi       Fermé
mardi-vendredi      09:00–12:00 / 14:00–17:00
</t>
    </r>
  </si>
  <si>
    <t xml:space="preserve">Papiers
Cartons
Cartouches 
Masques</t>
  </si>
  <si>
    <r>
      <rPr>
        <b val="true"/>
        <sz val="14"/>
        <color rgb="FF000000"/>
        <rFont val="Arial"/>
        <family val="2"/>
        <charset val="1"/>
      </rPr>
      <t xml:space="preserve">(62233) CYTOO </t>
    </r>
    <r>
      <rPr>
        <b val="true"/>
        <sz val="20"/>
        <color rgb="FF1616FA"/>
        <rFont val="Arial"/>
        <family val="2"/>
        <charset val="1"/>
      </rPr>
      <t xml:space="preserve">A/D
</t>
    </r>
    <r>
      <rPr>
        <sz val="14"/>
        <color rgb="FF000000"/>
        <rFont val="Arial"/>
        <family val="2"/>
        <charset val="1"/>
      </rPr>
      <t xml:space="preserve">16 chemin du vieux chêne
38240 MEYLAN
</t>
    </r>
    <r>
      <rPr>
        <b val="true"/>
        <sz val="14"/>
        <color rgb="FF000000"/>
        <rFont val="Arial"/>
        <family val="2"/>
        <charset val="1"/>
      </rPr>
      <t xml:space="preserve">770 MD SECU + 770 CARTON SECU</t>
    </r>
  </si>
  <si>
    <t xml:space="preserve">Polystirène
Cartons
Essuis-mains
Plastique (boite de cones)
Piles (ALD)
</t>
  </si>
  <si>
    <r>
      <rPr>
        <b val="true"/>
        <sz val="14"/>
        <color rgb="FF000000"/>
        <rFont val="Arial"/>
        <family val="2"/>
        <charset val="1"/>
      </rPr>
      <t xml:space="preserve">(8531) CREDIT COOP Gambetta
</t>
    </r>
    <r>
      <rPr>
        <sz val="14"/>
        <color rgb="FF000000"/>
        <rFont val="Arial"/>
        <family val="2"/>
        <charset val="1"/>
      </rPr>
      <t xml:space="preserve">64 Bd Gambetta
38000 Grenoble
</t>
    </r>
    <r>
      <rPr>
        <b val="true"/>
        <sz val="14"/>
        <color rgb="FF000000"/>
        <rFont val="Arial"/>
        <family val="2"/>
        <charset val="1"/>
      </rPr>
      <t xml:space="preserve">COLLECTE EN SACS dans la limite de 6 sacs
</t>
    </r>
    <r>
      <rPr>
        <sz val="14"/>
        <color rgb="FF000000"/>
        <rFont val="Arial"/>
        <family val="2"/>
        <charset val="1"/>
      </rPr>
      <t xml:space="preserve">lundi , mercredi et vendredi  08:45–12:10, 13:50–17:00
mardi et jeudi          08:45–12:10</t>
    </r>
  </si>
  <si>
    <r>
      <rPr>
        <b val="true"/>
        <sz val="14"/>
        <color rgb="FF000000"/>
        <rFont val="Arial"/>
        <family val="2"/>
        <charset val="1"/>
      </rPr>
      <t xml:space="preserve">(24638) ENTREPOT DU BRICOLAGE Comboire Echirolles
</t>
    </r>
    <r>
      <rPr>
        <sz val="14"/>
        <color rgb="FF000000"/>
        <rFont val="Arial"/>
        <family val="2"/>
        <charset val="1"/>
      </rPr>
      <t xml:space="preserve">Z.I. de Comboire
2 rue du Drac
38130 Echirolles 
</t>
    </r>
    <r>
      <rPr>
        <b val="true"/>
        <sz val="14"/>
        <color rgb="FF000000"/>
        <rFont val="Arial"/>
        <family val="2"/>
        <charset val="1"/>
      </rPr>
      <t xml:space="preserve">770P,770MD</t>
    </r>
  </si>
  <si>
    <t xml:space="preserve">Papier
Cartons
Gobelets carton
</t>
  </si>
  <si>
    <r>
      <rPr>
        <b val="true"/>
        <sz val="14"/>
        <color rgb="FF000000"/>
        <rFont val="Arial"/>
        <family val="2"/>
        <charset val="1"/>
      </rPr>
      <t xml:space="preserve">(24506) CADS Valgelon La Rochette
</t>
    </r>
    <r>
      <rPr>
        <sz val="14"/>
        <color rgb="FF000000"/>
        <rFont val="Arial"/>
        <family val="2"/>
        <charset val="1"/>
      </rPr>
      <t xml:space="preserve">Rue de Schweighouse sur Moder
73110 Valgelon-La Rochette
lundi        Fermé
mardi-vendredi      09:00–12:00 / 14:00–17:00
</t>
    </r>
  </si>
  <si>
    <t xml:space="preserve">Papier
Cartons
Cartouches</t>
  </si>
  <si>
    <r>
      <rPr>
        <b val="true"/>
        <sz val="14"/>
        <color rgb="FF000000"/>
        <rFont val="Arial"/>
        <family val="2"/>
        <charset val="1"/>
      </rPr>
      <t xml:space="preserve">(2985) LAM RESEARCH </t>
    </r>
    <r>
      <rPr>
        <b val="true"/>
        <sz val="24"/>
        <color rgb="FF1616FA"/>
        <rFont val="Arial"/>
        <family val="2"/>
        <charset val="1"/>
      </rPr>
      <t xml:space="preserve">B/D
</t>
    </r>
    <r>
      <rPr>
        <sz val="14"/>
        <color rgb="FF000000"/>
        <rFont val="Arial"/>
        <family val="2"/>
        <charset val="1"/>
      </rPr>
      <t xml:space="preserve">22, Chemlin du Vieux Chêne
38240 MEYLAN
Carole Taupin
</t>
    </r>
    <r>
      <rPr>
        <sz val="14"/>
        <color rgb="FFFF0000"/>
        <rFont val="Arial"/>
        <family val="2"/>
        <charset val="1"/>
      </rPr>
      <t xml:space="preserve">à contacter en cas de déplacement.
</t>
    </r>
    <r>
      <rPr>
        <sz val="14"/>
        <color rgb="FF000000"/>
        <rFont val="Arial"/>
        <family val="2"/>
        <charset val="1"/>
      </rPr>
      <t xml:space="preserve">Office: +(33) 4.76.61.49.10  M: +(33)6.71.47.75.49</t>
    </r>
  </si>
  <si>
    <r>
      <rPr>
        <b val="true"/>
        <sz val="14"/>
        <color rgb="FF000000"/>
        <rFont val="Arial"/>
        <family val="2"/>
        <charset val="1"/>
      </rPr>
      <t xml:space="preserve">(24748) LCL Grenoble Molière
</t>
    </r>
    <r>
      <rPr>
        <sz val="14"/>
        <color rgb="FF000000"/>
        <rFont val="Arial"/>
        <family val="2"/>
        <charset val="1"/>
      </rPr>
      <t xml:space="preserve">1 Rue Molière
38000 Grenoble
</t>
    </r>
    <r>
      <rPr>
        <b val="true"/>
        <sz val="14"/>
        <color rgb="FFFF0000"/>
        <rFont val="Arial"/>
        <family val="2"/>
        <charset val="1"/>
      </rPr>
      <t xml:space="preserve">BADGE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Dans cette agence, il y a 3 placards à PILON 
- 1 au RDC 
- 1 au 1er étage 
- 1 au 2ème étage 
</t>
    </r>
    <r>
      <rPr>
        <b val="true"/>
        <u val="single"/>
        <sz val="14"/>
        <color rgb="FFFF0000"/>
        <rFont val="Arial"/>
        <family val="2"/>
        <charset val="1"/>
      </rPr>
      <t xml:space="preserve">RETIRER TOUT LES SACS PEUT IMPORTE LE NOMBRE
</t>
    </r>
    <r>
      <rPr>
        <sz val="14"/>
        <color rgb="FF000000"/>
        <rFont val="Arial"/>
        <family val="2"/>
        <charset val="1"/>
      </rPr>
      <t xml:space="preserve">lundi  vendredi             08:45–12:00, 13:30–17:45
sauf jeudi              08:45–12:00, 14:30–17:45
</t>
    </r>
    <r>
      <rPr>
        <b val="true"/>
        <sz val="14"/>
        <color rgb="FF000000"/>
        <rFont val="Arial"/>
        <family val="2"/>
        <charset val="1"/>
      </rPr>
      <t xml:space="preserve">Sacs, cartons pliés</t>
    </r>
  </si>
  <si>
    <t xml:space="preserve">Cannette
Papier
Carton (mis à plat)
BP</t>
  </si>
  <si>
    <r>
      <rPr>
        <b val="true"/>
        <sz val="14"/>
        <color rgb="FF000000"/>
        <rFont val="Arial"/>
        <family val="2"/>
        <charset val="1"/>
      </rPr>
      <t xml:space="preserve">(8336) CERA La Rochette
</t>
    </r>
    <r>
      <rPr>
        <sz val="14"/>
        <color rgb="FF000000"/>
        <rFont val="Arial"/>
        <family val="2"/>
        <charset val="1"/>
      </rPr>
      <t xml:space="preserve">Rue de la Neuve
73110 Valgelon-La Rochette
lundi        Fermé
mardi-vendredi        09:15–12:30 / 13:30–18:00
</t>
    </r>
  </si>
  <si>
    <t xml:space="preserve"> FIN DE CONTRAT
RETRAIT MATERIEL</t>
  </si>
  <si>
    <r>
      <rPr>
        <b val="true"/>
        <sz val="14"/>
        <color rgb="FF000000"/>
        <rFont val="Arial"/>
        <family val="2"/>
        <charset val="1"/>
      </rPr>
      <t xml:space="preserve">(56584) INOVALLEE </t>
    </r>
    <r>
      <rPr>
        <b val="true"/>
        <sz val="22"/>
        <color rgb="FF1616FA"/>
        <rFont val="Arial"/>
        <family val="2"/>
        <charset val="1"/>
      </rPr>
      <t xml:space="preserve">C/D
</t>
    </r>
    <r>
      <rPr>
        <sz val="14"/>
        <color rgb="FF000000"/>
        <rFont val="Arial"/>
        <family val="2"/>
        <charset val="1"/>
      </rPr>
      <t xml:space="preserve">29 Chemin du Vieux Chêne
38240 MEYLAN</t>
    </r>
  </si>
  <si>
    <t xml:space="preserve">Papier/Carton,
Verre,
Gobelet Carton, 
Bouteille Plastique,
Canette Métallique
Piles</t>
  </si>
  <si>
    <r>
      <rPr>
        <b val="true"/>
        <sz val="14"/>
        <color rgb="FF000000"/>
        <rFont val="Arial"/>
        <family val="2"/>
        <charset val="1"/>
      </rPr>
      <t xml:space="preserve">(24863) SAMSE Grenoble
</t>
    </r>
    <r>
      <rPr>
        <sz val="14"/>
        <color rgb="FF000000"/>
        <rFont val="Arial"/>
        <family val="2"/>
        <charset val="1"/>
      </rPr>
      <t xml:space="preserve">2 Rue Raymond Pitet
38100 GRENOBLE
</t>
    </r>
    <r>
      <rPr>
        <b val="true"/>
        <sz val="14"/>
        <color rgb="FF000000"/>
        <rFont val="Arial"/>
        <family val="2"/>
        <charset val="1"/>
      </rPr>
      <t xml:space="preserve">4x360 Papiers + 1x770 Cartons + 1x770 MD + 1x120 Biodéchets
</t>
    </r>
    <r>
      <rPr>
        <b val="true"/>
        <sz val="14"/>
        <color rgb="FFFF0000"/>
        <rFont val="Arial"/>
        <family val="2"/>
        <charset val="1"/>
      </rPr>
      <t xml:space="preserve">1x120 DEEE (ALD)</t>
    </r>
    <r>
      <rPr>
        <b val="true"/>
        <sz val="14"/>
        <color rgb="FF000000"/>
        <rFont val="Arial"/>
        <family val="2"/>
        <charset val="1"/>
      </rPr>
      <t xml:space="preserve"> </t>
    </r>
    <r>
      <rPr>
        <b val="true"/>
        <sz val="14"/>
        <color rgb="FFFF0000"/>
        <rFont val="Arial"/>
        <family val="2"/>
        <charset val="1"/>
      </rPr>
      <t xml:space="preserve">+ 1x240 Verre (ALD)</t>
    </r>
  </si>
  <si>
    <t xml:space="preserve">Biodéchets
Papiers
Cartons
Canettes
Bouteilles PET
Gobelets cartons
DEEE ALD (120)
Verre ALD (240)</t>
  </si>
  <si>
    <r>
      <rPr>
        <b val="true"/>
        <sz val="14"/>
        <color rgb="FF000000"/>
        <rFont val="Arial"/>
        <family val="2"/>
        <charset val="1"/>
      </rPr>
      <t xml:space="preserve">(64194) GEME LYON TURIN SAINT JULIEN MONTDENIS
</t>
    </r>
    <r>
      <rPr>
        <sz val="14"/>
        <color rgb="FF000000"/>
        <rFont val="Arial"/>
        <family val="2"/>
        <charset val="1"/>
      </rPr>
      <t xml:space="preserve">1 Rue du Pré Martin
ZA Pré Pâques
73870 SAINT-JULIEN MONTDENIS
</t>
    </r>
    <r>
      <rPr>
        <b val="true"/>
        <sz val="14"/>
        <color rgb="FF000000"/>
        <rFont val="Arial"/>
        <family val="2"/>
        <charset val="1"/>
      </rPr>
      <t xml:space="preserve">Bâtiment COLAS
</t>
    </r>
    <r>
      <rPr>
        <b val="true"/>
        <sz val="14"/>
        <color rgb="FFFF0000"/>
        <rFont val="Arial"/>
        <family val="2"/>
        <charset val="1"/>
      </rPr>
      <t xml:space="preserve">8h-12h
</t>
    </r>
    <r>
      <rPr>
        <b val="true"/>
        <sz val="14"/>
        <color rgb="FF000000"/>
        <rFont val="Arial"/>
        <family val="2"/>
        <charset val="1"/>
      </rPr>
      <t xml:space="preserve">
1x120 Bio + 1x770 DIB </t>
    </r>
  </si>
  <si>
    <t xml:space="preserve">Biodéchets (120L)
DIB (1x770L)</t>
  </si>
  <si>
    <r>
      <rPr>
        <b val="true"/>
        <sz val="14"/>
        <color rgb="FF000000"/>
        <rFont val="Arial"/>
        <family val="2"/>
        <charset val="1"/>
      </rPr>
      <t xml:space="preserve">(62685) CEDRAT TECHNOLOGIES D/D
</t>
    </r>
    <r>
      <rPr>
        <sz val="14"/>
        <color rgb="FF000000"/>
        <rFont val="Arial"/>
        <family val="2"/>
        <charset val="1"/>
      </rPr>
      <t xml:space="preserve">59 Chemin du Vieux Chêne
38240 MEYLAN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Lundi au vendredi : 9h-16h
</t>
    </r>
    <r>
      <rPr>
        <b val="true"/>
        <sz val="14"/>
        <color rgb="FF000000"/>
        <rFont val="Arial"/>
        <family val="2"/>
        <charset val="1"/>
      </rPr>
      <t xml:space="preserve">
Collecte en sacs
</t>
    </r>
    <r>
      <rPr>
        <b val="true"/>
        <sz val="14"/>
        <color rgb="FFFF0000"/>
        <rFont val="Arial"/>
        <family val="2"/>
        <charset val="1"/>
      </rPr>
      <t xml:space="preserve">PROTOCOLE OBLIGATOIRE</t>
    </r>
  </si>
  <si>
    <t xml:space="preserve">Papiers
Capsules cafés
Verre (4S)
Papiers confidentiel (ALD)
Bouteilles PET (ALD)
Canettes (ALD)</t>
  </si>
  <si>
    <r>
      <rPr>
        <b val="true"/>
        <sz val="14"/>
        <color rgb="FF000000"/>
        <rFont val="Arial"/>
        <family val="2"/>
        <charset val="1"/>
      </rPr>
      <t xml:space="preserve">(24719) ATAWEY (MCPHY) 
</t>
    </r>
    <r>
      <rPr>
        <sz val="14"/>
        <color rgb="FF000000"/>
        <rFont val="Arial"/>
        <family val="2"/>
        <charset val="1"/>
      </rPr>
      <t xml:space="preserve">79 rue Général Mangin
38000 Grenoble
</t>
    </r>
    <r>
      <rPr>
        <b val="true"/>
        <sz val="14"/>
        <color rgb="FF000000"/>
        <rFont val="Arial"/>
        <family val="2"/>
        <charset val="1"/>
      </rPr>
      <t xml:space="preserve">120 Bio 360Papiers,770MD 770 DIB
Anne : 06-98-72-88-65
Frédérique : 06-98-72-85-79</t>
    </r>
  </si>
  <si>
    <r>
      <rPr>
        <b val="true"/>
        <sz val="14"/>
        <color rgb="FF000000"/>
        <rFont val="Arial"/>
        <family val="2"/>
        <charset val="1"/>
      </rPr>
      <t xml:space="preserve">(72808) GEME LYON TURIN SAINT JEAN DE MAURIENNE
</t>
    </r>
    <r>
      <rPr>
        <sz val="14"/>
        <color rgb="FF000000"/>
        <rFont val="Arial"/>
        <family val="2"/>
        <charset val="1"/>
      </rPr>
      <t xml:space="preserve">94 Rue Louis Sibué
73300 SAINT JEAN DE MAURIENNE
</t>
    </r>
    <r>
      <rPr>
        <b val="true"/>
        <sz val="14"/>
        <color rgb="FFFF0000"/>
        <rFont val="Arial"/>
        <family val="2"/>
        <charset val="1"/>
      </rPr>
      <t xml:space="preserve">8h-12h
</t>
    </r>
    <r>
      <rPr>
        <b val="true"/>
        <sz val="14"/>
        <color rgb="FF000000"/>
        <rFont val="Arial"/>
        <family val="2"/>
        <charset val="1"/>
      </rPr>
      <t xml:space="preserve">
Collecte à la corbeille + cartons à plat</t>
    </r>
  </si>
  <si>
    <t xml:space="preserve">DIB
Biodéchets</t>
  </si>
  <si>
    <r>
      <rPr>
        <b val="true"/>
        <sz val="14"/>
        <color rgb="FF000000"/>
        <rFont val="Arial"/>
        <family val="2"/>
        <charset val="1"/>
      </rPr>
      <t xml:space="preserve">(24875) SINTEGRA 
</t>
    </r>
    <r>
      <rPr>
        <sz val="14"/>
        <color rgb="FF000000"/>
        <rFont val="Arial"/>
        <family val="2"/>
        <charset val="1"/>
      </rPr>
      <t xml:space="preserve">12 Avenue Jean Kuntzmann
38330 Montbonnot-Saint-Martin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TOUT LES BACS SONT SECU 
PROTOCOLE OBLIGATOIRE
</t>
    </r>
    <r>
      <rPr>
        <b val="true"/>
        <u val="singl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000000"/>
        <rFont val="Arial"/>
        <family val="2"/>
        <charset val="1"/>
      </rPr>
      <t xml:space="preserve">2X360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rgb="FF000000"/>
        <rFont val="Arial"/>
        <family val="2"/>
        <charset val="1"/>
      </rPr>
      <t xml:space="preserve"> papiers + 1x770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rgb="FF000000"/>
        <rFont val="Arial"/>
        <family val="2"/>
        <charset val="1"/>
      </rPr>
      <t xml:space="preserve"> MD + 1x770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rgb="FF000000"/>
        <rFont val="Arial"/>
        <family val="2"/>
        <charset val="1"/>
      </rPr>
      <t xml:space="preserve"> cartons</t>
    </r>
  </si>
  <si>
    <t xml:space="preserve">Papiers
Cartons
Canettes
Bouteilles plastique
Capsules café
Verres
Piles</t>
  </si>
  <si>
    <r>
      <rPr>
        <b val="true"/>
        <sz val="14"/>
        <color rgb="FF000000"/>
        <rFont val="Arial"/>
        <family val="2"/>
        <charset val="1"/>
      </rPr>
      <t xml:space="preserve">(24610) ECM TECHNOLOGIE
</t>
    </r>
    <r>
      <rPr>
        <sz val="14"/>
        <color rgb="FF000000"/>
        <rFont val="Arial"/>
        <family val="2"/>
        <charset val="1"/>
      </rPr>
      <t xml:space="preserve">46 Rue Jean Vaujany
38100 GRENOBLE
Lundi au vendredi : 08h00–12h30 / 14h30–17h45
</t>
    </r>
    <r>
      <rPr>
        <b val="true"/>
        <sz val="14"/>
        <color rgb="FF000000"/>
        <rFont val="Arial"/>
        <family val="2"/>
        <charset val="1"/>
      </rPr>
      <t xml:space="preserve">
1X770 Papiers + 1X770 MD
</t>
    </r>
    <r>
      <rPr>
        <b val="true"/>
        <sz val="14"/>
        <color rgb="FFFF0000"/>
        <rFont val="Arial"/>
        <family val="2"/>
        <charset val="1"/>
      </rPr>
      <t xml:space="preserve">1X240 DEE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rgb="FFFF0000"/>
        <rFont val="Arial"/>
        <family val="2"/>
        <charset val="1"/>
      </rPr>
      <t xml:space="preserve">  (ALD)</t>
    </r>
    <r>
      <rPr>
        <b val="true"/>
        <sz val="14"/>
        <color rgb="FF000000"/>
        <rFont val="Arial"/>
        <family val="2"/>
        <charset val="1"/>
      </rPr>
      <t xml:space="preserve"> </t>
    </r>
    <r>
      <rPr>
        <b val="true"/>
        <sz val="14"/>
        <color rgb="FFFF0000"/>
        <rFont val="Arial"/>
        <family val="2"/>
        <charset val="1"/>
      </rPr>
      <t xml:space="preserve">+ 1x240 Verre (ALD)</t>
    </r>
  </si>
  <si>
    <t xml:space="preserve">LUNDI</t>
  </si>
  <si>
    <t xml:space="preserve">Papiers
Cartons
Gobelets cartons
Canettes
Bouteilles PET
Capsules cafés
DEEE (ALD)
Verre (ALD)</t>
  </si>
  <si>
    <r>
      <rPr>
        <b val="true"/>
        <sz val="14"/>
        <color rgb="FF000000"/>
        <rFont val="Arial"/>
        <family val="2"/>
        <charset val="1"/>
      </rPr>
      <t xml:space="preserve">(24726) INTERMARCHE Sainte Marie de Cuines</t>
    </r>
    <r>
      <rPr>
        <sz val="14"/>
        <color rgb="FF000000"/>
        <rFont val="Arial"/>
        <family val="2"/>
        <charset val="1"/>
      </rPr>
      <t xml:space="preserve"> 
 Les, Rte des Grands Prés
73130 Sainte-Marie-de-Cuines
</t>
    </r>
    <r>
      <rPr>
        <b val="true"/>
        <sz val="14"/>
        <color rgb="FF000000"/>
        <rFont val="Arial"/>
        <family val="2"/>
        <charset val="1"/>
      </rPr>
      <t xml:space="preserve">1x360 Papiers</t>
    </r>
  </si>
  <si>
    <r>
      <rPr>
        <b val="true"/>
        <sz val="14"/>
        <color rgb="FF000000"/>
        <rFont val="Arial"/>
        <family val="2"/>
        <charset val="1"/>
      </rPr>
      <t xml:space="preserve">(78446) KLA CORPORATION
</t>
    </r>
    <r>
      <rPr>
        <sz val="14"/>
        <color rgb="FF000000"/>
        <rFont val="Arial"/>
        <family val="2"/>
        <charset val="1"/>
      </rPr>
      <t xml:space="preserve">387 Avenue Jean Kuntzmann
38330 MONTBONNOT SAINT MARTIN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u val="single"/>
        <sz val="14"/>
        <color rgb="FF000000"/>
        <rFont val="Arial"/>
        <family val="2"/>
        <charset val="1"/>
      </rPr>
      <t xml:space="preserve">Lundi au vendredi </t>
    </r>
    <r>
      <rPr>
        <sz val="14"/>
        <color rgb="FF000000"/>
        <rFont val="Arial"/>
        <family val="2"/>
        <charset val="1"/>
      </rPr>
      <t xml:space="preserve">: 8h30-17h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UNIQUEMENT BIODECHETS</t>
    </r>
  </si>
  <si>
    <r>
      <rPr>
        <b val="true"/>
        <sz val="14"/>
        <color rgb="FF000000"/>
        <rFont val="Arial"/>
        <family val="2"/>
        <charset val="1"/>
      </rPr>
      <t xml:space="preserve">(24477) CADS Aiguebelle
</t>
    </r>
    <r>
      <rPr>
        <sz val="14"/>
        <color rgb="FF000000"/>
        <rFont val="Arial"/>
        <family val="2"/>
        <charset val="1"/>
      </rPr>
      <t xml:space="preserve">64 rue Principale
73220 Val-d'Arc
lundi        Fermé
mardi-vendredi       09:00–12:00 / 14:00–17:00
</t>
    </r>
  </si>
  <si>
    <r>
      <rPr>
        <b val="true"/>
        <sz val="14"/>
        <color rgb="FF000000"/>
        <rFont val="Arial"/>
        <family val="2"/>
        <charset val="1"/>
      </rPr>
      <t xml:space="preserve">(24560) CITEM AITON</t>
    </r>
    <r>
      <rPr>
        <b val="true"/>
        <sz val="14"/>
        <color rgb="FFFF0000"/>
        <rFont val="Arial"/>
        <family val="2"/>
        <charset val="1"/>
      </rPr>
      <t xml:space="preserve"> 
</t>
    </r>
    <r>
      <rPr>
        <sz val="14"/>
        <color rgb="FF000000"/>
        <rFont val="Arial"/>
        <family val="2"/>
        <charset val="1"/>
      </rPr>
      <t xml:space="preserve">604 route du Vernay
73220 Aiton
</t>
    </r>
    <r>
      <rPr>
        <b val="true"/>
        <sz val="14"/>
        <rFont val="Arial"/>
        <family val="2"/>
        <charset val="1"/>
      </rPr>
      <t xml:space="preserve">1x120 Papiers + 1x240 MD </t>
    </r>
  </si>
  <si>
    <t xml:space="preserve">Papiers
Cartons
Bouteilles plastique
Verres</t>
  </si>
  <si>
    <r>
      <rPr>
        <b val="true"/>
        <sz val="14"/>
        <color rgb="FF000000"/>
        <rFont val="Arial"/>
        <family val="2"/>
        <charset val="1"/>
      </rPr>
      <t xml:space="preserve">(24535) CENTRE PENITENCIERE-IDEX ENERGIES
</t>
    </r>
    <r>
      <rPr>
        <sz val="14"/>
        <color rgb="FF000000"/>
        <rFont val="Arial"/>
        <family val="2"/>
        <charset val="1"/>
      </rPr>
      <t xml:space="preserve">Lieu dit les Gabelins
73220 Aiton
</t>
    </r>
    <r>
      <rPr>
        <b val="true"/>
        <sz val="14"/>
        <color rgb="FF000000"/>
        <rFont val="Arial"/>
        <family val="2"/>
        <charset val="1"/>
      </rPr>
      <t xml:space="preserve">360Psécu,770MDsécu,770film</t>
    </r>
    <r>
      <rPr>
        <sz val="14"/>
        <color rgb="FF000000"/>
        <rFont val="Arial"/>
        <family val="2"/>
        <charset val="1"/>
      </rPr>
      <t xml:space="preserve"> </t>
    </r>
    <r>
      <rPr>
        <b val="true"/>
        <sz val="14"/>
        <color rgb="FF000000"/>
        <rFont val="Arial"/>
        <family val="2"/>
        <charset val="1"/>
      </rPr>
      <t xml:space="preserve">étirable
</t>
    </r>
    <r>
      <rPr>
        <b val="true"/>
        <sz val="14"/>
        <color rgb="FFFF0000"/>
        <rFont val="Arial"/>
        <family val="2"/>
        <charset val="1"/>
      </rPr>
      <t xml:space="preserve">intégrer  à chaque passage la collecte du caisson et faire la destruction 
Si changement de jour : chantal.leformal@idex.fr      
PROTOCOLE DE COLLECTE OBLIGATOIRE</t>
    </r>
  </si>
  <si>
    <t xml:space="preserve">Papiers
Cartons
Gobelets carton
Bouteilles plastique
Film étirable
Piles
DEEE</t>
  </si>
  <si>
    <r>
      <rPr>
        <b val="true"/>
        <sz val="14"/>
        <color rgb="FF000000"/>
        <rFont val="Arial"/>
        <family val="2"/>
        <charset val="1"/>
      </rPr>
      <t xml:space="preserve">(49737) EVS - VERIDIS-SAINT PIERRE D'ALBIGNY
</t>
    </r>
    <r>
      <rPr>
        <sz val="14"/>
        <color rgb="FF000000"/>
        <rFont val="Arial"/>
        <family val="2"/>
        <charset val="1"/>
      </rPr>
      <t xml:space="preserve">200 RUE DES ILES
73250 SAINT PIERRE D'ALBIGNY</t>
    </r>
  </si>
  <si>
    <t xml:space="preserve">piles</t>
  </si>
  <si>
    <r>
      <rPr>
        <b val="true"/>
        <sz val="14"/>
        <color rgb="FF000000"/>
        <rFont val="Arial"/>
        <family val="2"/>
        <charset val="1"/>
      </rPr>
      <t xml:space="preserve">(68037) Banque Populaire AURA St-PIERRE-d'ALBIGNY
</t>
    </r>
    <r>
      <rPr>
        <sz val="14"/>
        <color rgb="FF000000"/>
        <rFont val="Arial"/>
        <family val="2"/>
        <charset val="1"/>
      </rPr>
      <t xml:space="preserve">place de l'église
73250St-PIERRE-d'ALBIGNY
Mardi Mercredi Vendredi 
8h30 - 12h30 et 13h45 à 17h45
le Jeudi
8h30 - 12h00 et 13h45 à 17h45</t>
    </r>
  </si>
  <si>
    <r>
      <rPr>
        <b val="true"/>
        <sz val="14"/>
        <color rgb="FF000000"/>
        <rFont val="Arial"/>
        <family val="2"/>
        <charset val="1"/>
      </rPr>
      <t xml:space="preserve">(24520) CADS Saint Pierre d'Albigny
</t>
    </r>
    <r>
      <rPr>
        <sz val="14"/>
        <color rgb="FF000000"/>
        <rFont val="Arial"/>
        <family val="2"/>
        <charset val="1"/>
      </rPr>
      <t xml:space="preserve">125 Av. du Grand Arc
73250 Saint-Pierre-d'Albigny
lundi        Fermé
mardi-vendredi       09:00–12:00 / 14:00–17:00
</t>
    </r>
  </si>
  <si>
    <t xml:space="preserve">Chambéry</t>
  </si>
  <si>
    <t xml:space="preserve">Albertville</t>
  </si>
  <si>
    <r>
      <rPr>
        <b val="true"/>
        <sz val="14"/>
        <color rgb="FF000000"/>
        <rFont val="Arial"/>
        <family val="2"/>
        <charset val="1"/>
      </rPr>
      <t xml:space="preserve">(24553) CHRONOPOST Chambéry
</t>
    </r>
    <r>
      <rPr>
        <sz val="14"/>
        <color rgb="FF000000"/>
        <rFont val="Arial"/>
        <family val="2"/>
        <charset val="1"/>
      </rPr>
      <t xml:space="preserve">ZI de Bissy
91 rue Paul Girod
73000 Chambéry
</t>
    </r>
    <r>
      <rPr>
        <b val="true"/>
        <sz val="14"/>
        <color rgb="FF000000"/>
        <rFont val="Arial"/>
        <family val="2"/>
        <charset val="1"/>
      </rPr>
      <t xml:space="preserve">1x360 Papiers/Cartons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rgb="FF000000"/>
        <rFont val="Arial"/>
        <family val="2"/>
        <charset val="1"/>
      </rPr>
      <t xml:space="preserve"> + 1x770 MD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</si>
  <si>
    <t xml:space="preserve">Papiers
Cartons
Gobelets carton
Canettes 
Bouteilles plastique</t>
  </si>
  <si>
    <r>
      <rPr>
        <b val="true"/>
        <sz val="14"/>
        <color rgb="FF000000"/>
        <rFont val="Arial"/>
        <family val="2"/>
        <charset val="1"/>
      </rPr>
      <t xml:space="preserve">(8785) France TRAVAIL Grand Verger Chambéry B/C
</t>
    </r>
    <r>
      <rPr>
        <sz val="14"/>
        <color rgb="FF000000"/>
        <rFont val="Arial"/>
        <family val="2"/>
        <charset val="1"/>
      </rPr>
      <t xml:space="preserve">Zac Du Grand Verger, 
272 Rue François Guise
73000 Chambéry
Lundi au jeudi : 08:30–16:00
Vendredi	08:30–12:30
</t>
    </r>
    <r>
      <rPr>
        <b val="true"/>
        <sz val="14"/>
        <color rgb="FF000000"/>
        <rFont val="Arial"/>
        <family val="2"/>
        <charset val="1"/>
      </rPr>
      <t xml:space="preserve">2X360P,360MD</t>
    </r>
  </si>
  <si>
    <r>
      <rPr>
        <b val="true"/>
        <sz val="14"/>
        <color rgb="FF000000"/>
        <rFont val="Arial"/>
        <family val="2"/>
        <charset val="1"/>
      </rPr>
      <t xml:space="preserve">(24550) CHAM Albertville A/B
</t>
    </r>
    <r>
      <rPr>
        <sz val="14"/>
        <color rgb="FF000000"/>
        <rFont val="Arial"/>
        <family val="2"/>
        <charset val="1"/>
      </rPr>
      <t xml:space="preserve">253 Rue Pierre de Coubertin
73200 ALBERTVILLE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BADGE + Petites clefs pour bacs sécu
</t>
    </r>
    <r>
      <rPr>
        <b val="true"/>
        <u val="single"/>
        <sz val="14"/>
        <color rgb="FF00B050"/>
        <rFont val="Arial"/>
        <family val="2"/>
        <charset val="1"/>
      </rPr>
      <t xml:space="preserve">BACS SPECIAUX </t>
    </r>
  </si>
  <si>
    <r>
      <rPr>
        <b val="true"/>
        <sz val="14"/>
        <color rgb="FF000000"/>
        <rFont val="Arial"/>
        <family val="2"/>
        <charset val="1"/>
      </rPr>
      <t xml:space="preserve">8x360 </t>
    </r>
    <r>
      <rPr>
        <b val="true"/>
        <sz val="14"/>
        <color rgb="FFFF0000"/>
        <rFont val="Arial"/>
        <family val="2"/>
        <charset val="1"/>
      </rPr>
      <t xml:space="preserve">sécu bleus fendus</t>
    </r>
    <r>
      <rPr>
        <b val="true"/>
        <sz val="14"/>
        <color rgb="FF000000"/>
        <rFont val="Arial"/>
        <family val="2"/>
        <charset val="1"/>
      </rPr>
      <t xml:space="preserve"> 
</t>
    </r>
    <r>
      <rPr>
        <sz val="14"/>
        <color rgb="FF000000"/>
        <rFont val="Arial"/>
        <family val="2"/>
        <charset val="1"/>
      </rPr>
      <t xml:space="preserve">
1x240 sécu
bouchons plastiques
(à l'accueil)</t>
    </r>
  </si>
  <si>
    <t xml:space="preserve">Aix les bains
Motte Servolex
Bourget du lac</t>
  </si>
  <si>
    <r>
      <rPr>
        <b val="true"/>
        <sz val="18"/>
        <color rgb="FF000000"/>
        <rFont val="Arial"/>
        <family val="2"/>
        <charset val="1"/>
      </rPr>
      <t xml:space="preserve">(496) Leclerc Drumettaz
</t>
    </r>
    <r>
      <rPr>
        <sz val="18"/>
        <color rgb="FF000000"/>
        <rFont val="Arial"/>
        <family val="2"/>
        <charset val="1"/>
      </rPr>
      <t xml:space="preserve">214 Chemin de la Boisière
73420 Drumettaz-Clarafond
</t>
    </r>
    <r>
      <rPr>
        <b val="true"/>
        <sz val="18"/>
        <color rgb="FFFF0000"/>
        <rFont val="Arial"/>
        <family val="2"/>
        <charset val="1"/>
      </rPr>
      <t xml:space="preserve">lundi au vendredi 8h30 - 20h00</t>
    </r>
  </si>
  <si>
    <t xml:space="preserve">Fait par Grenoble</t>
  </si>
  <si>
    <r>
      <rPr>
        <b val="true"/>
        <sz val="14"/>
        <color rgb="FF000000"/>
        <rFont val="Arial"/>
        <family val="2"/>
        <charset val="1"/>
      </rPr>
      <t xml:space="preserve">(24720) IMAPRIM
</t>
    </r>
    <r>
      <rPr>
        <sz val="14"/>
        <color rgb="FF000000"/>
        <rFont val="Arial"/>
        <family val="2"/>
        <charset val="1"/>
      </rPr>
      <t xml:space="preserve">156 rue Amiral Gérard Daille
Eco quartier Vetrotex
73 000 Chambéry
</t>
    </r>
    <r>
      <rPr>
        <b val="true"/>
        <sz val="14"/>
        <color rgb="FF000000"/>
        <rFont val="Arial"/>
        <family val="2"/>
        <charset val="1"/>
      </rPr>
      <t xml:space="preserve">
prendre 1 bac pour faire le tour des bureau et vider corbeille</t>
    </r>
    <r>
      <rPr>
        <sz val="14"/>
        <color rgb="FF000000"/>
        <rFont val="Arial"/>
        <family val="2"/>
        <charset val="1"/>
      </rPr>
      <t xml:space="preserve">s 
</t>
    </r>
    <r>
      <rPr>
        <b val="true"/>
        <sz val="14"/>
        <color rgb="FF000000"/>
        <rFont val="Arial"/>
        <family val="2"/>
        <charset val="1"/>
      </rPr>
      <t xml:space="preserve">1/ Ne pas passer avant 9h00 car la responsable n'est pas là avant 
2/  récupérer les capsules café , ET les bouteilles plastiques </t>
    </r>
  </si>
  <si>
    <t xml:space="preserve">Papiers (240)
Cartons
Bouteille plastique
Verres
Capsules café</t>
  </si>
  <si>
    <r>
      <rPr>
        <b val="true"/>
        <sz val="14"/>
        <color rgb="FF000000"/>
        <rFont val="Arial"/>
        <family val="2"/>
        <charset val="1"/>
      </rPr>
      <t xml:space="preserve">(24397) ACTEMIUM
</t>
    </r>
    <r>
      <rPr>
        <sz val="14"/>
        <color rgb="FF000000"/>
        <rFont val="Arial"/>
        <family val="2"/>
        <charset val="1"/>
      </rPr>
      <t xml:space="preserve">147 Allée des Blachères
73000 Chambéry
lundi au vendredi 8h30 - 17h30
</t>
    </r>
    <r>
      <rPr>
        <b val="true"/>
        <sz val="14"/>
        <color rgb="FF000000"/>
        <rFont val="Arial"/>
        <family val="2"/>
        <charset val="1"/>
      </rPr>
      <t xml:space="preserve">360 Papiers/Cartons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rgb="FF000000"/>
        <rFont val="Arial"/>
        <family val="2"/>
        <charset val="1"/>
      </rPr>
      <t xml:space="preserve"> et 1x770 MD </t>
    </r>
    <r>
      <rPr>
        <b val="true"/>
        <u val="single"/>
        <sz val="14"/>
        <color rgb="FFFF0000"/>
        <rFont val="Arial"/>
        <family val="2"/>
        <charset val="1"/>
      </rPr>
      <t xml:space="preserve">SECU
TOUT LES BACS SONT SECU</t>
    </r>
  </si>
  <si>
    <t xml:space="preserve">Papiers
Cartons
Bouteilles PET
Canettes
Gobelets cartons
Petit matériel de bureaux
Capsules Café
Essuie-mains
DEEE (ALD)</t>
  </si>
  <si>
    <t xml:space="preserve">Initialement prévu 13/07</t>
  </si>
  <si>
    <r>
      <rPr>
        <b val="true"/>
        <sz val="14"/>
        <color rgb="FF000000"/>
        <rFont val="Arial"/>
        <family val="2"/>
        <charset val="1"/>
      </rPr>
      <t xml:space="preserve">(78705) MATERNITE CHAM ALBERTVILLE GUIGOZ B/B
</t>
    </r>
    <r>
      <rPr>
        <sz val="14"/>
        <color rgb="FF000000"/>
        <rFont val="Arial"/>
        <family val="2"/>
        <charset val="1"/>
      </rPr>
      <t xml:space="preserve">253 Rue pierre de Coubertin
73200 ALBERTVILLE 
</t>
    </r>
    <r>
      <rPr>
        <b val="true"/>
        <sz val="14"/>
        <color rgb="FFFF0000"/>
        <rFont val="Arial"/>
        <family val="2"/>
        <charset val="1"/>
      </rPr>
      <t xml:space="preserve">SUIVRE LES INDICATIONS DE L'ODM</t>
    </r>
  </si>
  <si>
    <t xml:space="preserve">SAC Biberons</t>
  </si>
  <si>
    <r>
      <rPr>
        <b val="true"/>
        <sz val="18"/>
        <color rgb="FF000000"/>
        <rFont val="Arial"/>
        <family val="2"/>
        <charset val="1"/>
      </rPr>
      <t xml:space="preserve">(1117) EDF "Centaure"
</t>
    </r>
    <r>
      <rPr>
        <sz val="18"/>
        <color rgb="FF000000"/>
        <rFont val="Arial"/>
        <family val="2"/>
        <charset val="1"/>
      </rPr>
      <t xml:space="preserve">Savoie Technolac
10 Allée du Lac de Tignes
73290 La Motte-Servolex
</t>
    </r>
    <r>
      <rPr>
        <b val="true"/>
        <sz val="18"/>
        <color rgb="FFFF0000"/>
        <rFont val="Arial"/>
        <family val="2"/>
        <charset val="1"/>
      </rPr>
      <t xml:space="preserve">lundi au vendredi 8h00 - 17h00</t>
    </r>
  </si>
  <si>
    <t xml:space="preserve">2f/s</t>
  </si>
  <si>
    <t xml:space="preserve">2x770 P/C
2x770 DIB
1x770 MD                   Palettes</t>
  </si>
  <si>
    <r>
      <rPr>
        <b val="true"/>
        <sz val="14"/>
        <color rgb="FF000000"/>
        <rFont val="Arial"/>
        <family val="2"/>
        <charset val="1"/>
      </rPr>
      <t xml:space="preserve">(24581) CREA DESIGN 
</t>
    </r>
    <r>
      <rPr>
        <sz val="14"/>
        <color rgb="FF000000"/>
        <rFont val="Arial"/>
        <family val="2"/>
        <charset val="1"/>
      </rPr>
      <t xml:space="preserve">406 chemin Charrière Neuve
73000 Chambéry
</t>
    </r>
    <r>
      <rPr>
        <b val="true"/>
        <sz val="14"/>
        <color rgb="FF000000"/>
        <rFont val="Arial"/>
        <family val="2"/>
        <charset val="1"/>
      </rPr>
      <t xml:space="preserve">on récupère le contenu d'une corbeille DEMI LUNE "CAFE" en sac 50L
</t>
    </r>
    <r>
      <rPr>
        <b val="true"/>
        <u val="single"/>
        <sz val="14"/>
        <color rgb="FFFF0000"/>
        <rFont val="Arial"/>
        <family val="2"/>
        <charset val="1"/>
      </rPr>
      <t xml:space="preserve">+ Sacs Essuis mains + 1 BIOSEAU BIODECHETS</t>
    </r>
  </si>
  <si>
    <r>
      <rPr>
        <b val="true"/>
        <sz val="14"/>
        <color rgb="FF000000"/>
        <rFont val="Arial"/>
        <family val="2"/>
        <charset val="1"/>
      </rPr>
      <t xml:space="preserve">(24787) MSA Chambéry C/C
</t>
    </r>
    <r>
      <rPr>
        <sz val="14"/>
        <color rgb="FF000000"/>
        <rFont val="Arial"/>
        <family val="2"/>
        <charset val="1"/>
      </rPr>
      <t xml:space="preserve">ZAC du Grand Verger
20 Avenue des Chevaliers Tireurs
73000 CHAMBERY
Lundi au vendredi : 8h00-12h00 / 13h00-16h30
</t>
    </r>
    <r>
      <rPr>
        <b val="true"/>
        <sz val="14"/>
        <color rgb="FF000000"/>
        <rFont val="Arial"/>
        <family val="2"/>
        <charset val="1"/>
      </rPr>
      <t xml:space="preserve">3X360 Papiers + 2X770 Cartons
</t>
    </r>
    <r>
      <rPr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BADGE
Code ascenseur sous-sol : 1980A</t>
    </r>
  </si>
  <si>
    <t xml:space="preserve">Bouteilles PET
Canettes
Cartons
D.I.B.
Papiers
Gobelets cartons
Cartouches d'encre (ALD)
Piles (ALD)</t>
  </si>
  <si>
    <r>
      <rPr>
        <b val="true"/>
        <sz val="14"/>
        <color rgb="FF000000"/>
        <rFont val="Arial"/>
        <family val="2"/>
        <charset val="1"/>
      </rPr>
      <t xml:space="preserve">(64401) CHAM Ehpad Claude Léger
</t>
    </r>
    <r>
      <rPr>
        <sz val="14"/>
        <color rgb="FF000000"/>
        <rFont val="Arial"/>
        <family val="2"/>
        <charset val="1"/>
      </rPr>
      <t xml:space="preserve">457 Chemin des Trois-Poiriers
73200 ALBERTVILLE
</t>
    </r>
    <r>
      <rPr>
        <b val="true"/>
        <sz val="14"/>
        <color rgb="FF000000"/>
        <rFont val="Arial"/>
        <family val="2"/>
        <charset val="1"/>
      </rPr>
      <t xml:space="preserve">1x360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  <r>
      <rPr>
        <b val="true"/>
        <sz val="14"/>
        <color rgb="FF000000"/>
        <rFont val="Arial"/>
        <family val="2"/>
        <charset val="1"/>
      </rPr>
      <t xml:space="preserve"> + Bouchons à l'accueil
</t>
    </r>
    <r>
      <rPr>
        <b val="true"/>
        <sz val="14"/>
        <color rgb="FFFF0000"/>
        <rFont val="Arial"/>
        <family val="2"/>
        <charset val="1"/>
      </rPr>
      <t xml:space="preserve">Code porte 1806 </t>
    </r>
  </si>
  <si>
    <t xml:space="preserve">FIN DE CONTRAT
RETRAIT MATERIEL</t>
  </si>
  <si>
    <r>
      <rPr>
        <b val="true"/>
        <sz val="14"/>
        <color rgb="FF000000"/>
        <rFont val="Arial"/>
        <family val="2"/>
        <charset val="1"/>
      </rPr>
      <t xml:space="preserve">360 </t>
    </r>
    <r>
      <rPr>
        <b val="true"/>
        <sz val="14"/>
        <color rgb="FFFF0000"/>
        <rFont val="Arial"/>
        <family val="2"/>
        <charset val="1"/>
      </rPr>
      <t xml:space="preserve">sécu bleus fendus</t>
    </r>
    <r>
      <rPr>
        <b val="true"/>
        <sz val="14"/>
        <color rgb="FF000000"/>
        <rFont val="Arial"/>
        <family val="2"/>
        <charset val="1"/>
      </rPr>
      <t xml:space="preserve"> 
</t>
    </r>
  </si>
  <si>
    <r>
      <rPr>
        <b val="true"/>
        <sz val="18"/>
        <color rgb="FF000000"/>
        <rFont val="Arial"/>
        <family val="2"/>
        <charset val="1"/>
      </rPr>
      <t xml:space="preserve">(662) Implenia
</t>
    </r>
    <r>
      <rPr>
        <sz val="18"/>
        <color rgb="FF000000"/>
        <rFont val="Arial"/>
        <family val="2"/>
        <charset val="1"/>
      </rPr>
      <t xml:space="preserve">20 Rue du Lac Majeur (Bâtiment A 2ème étage)
73370 Le Bourget-du-Lac
</t>
    </r>
    <r>
      <rPr>
        <b val="true"/>
        <sz val="18"/>
        <color rgb="FFFF0000"/>
        <rFont val="Arial"/>
        <family val="2"/>
        <charset val="1"/>
      </rPr>
      <t xml:space="preserve">lundi au vendredi 8h30 - 12h00   13h30 - 17h30</t>
    </r>
  </si>
  <si>
    <t xml:space="preserve">Bioseau 20L Uniquement</t>
  </si>
  <si>
    <r>
      <rPr>
        <b val="true"/>
        <sz val="14"/>
        <color rgb="FF000000"/>
        <rFont val="Arial"/>
        <family val="2"/>
        <charset val="1"/>
      </rPr>
      <t xml:space="preserve">(24424) Association SAVOIEXPO (A/B)
</t>
    </r>
    <r>
      <rPr>
        <sz val="14"/>
        <color rgb="FF000000"/>
        <rFont val="Arial"/>
        <family val="2"/>
        <charset val="1"/>
      </rPr>
      <t xml:space="preserve">1725 avenue du Grand Arietaz
73000 Chambéry
</t>
    </r>
    <r>
      <rPr>
        <b val="true"/>
        <sz val="14"/>
        <color rgb="FF000000"/>
        <rFont val="Arial"/>
        <family val="2"/>
        <charset val="1"/>
      </rPr>
      <t xml:space="preserve">2 seaux 20L
Uniquement Bio déchet</t>
    </r>
  </si>
  <si>
    <r>
      <rPr>
        <b val="true"/>
        <sz val="14"/>
        <color rgb="FF000000"/>
        <rFont val="Arial"/>
        <family val="2"/>
        <charset val="1"/>
      </rPr>
      <t xml:space="preserve">(24490) CADS Chambéry Bissy
</t>
    </r>
    <r>
      <rPr>
        <sz val="14"/>
        <color rgb="FF000000"/>
        <rFont val="Arial"/>
        <family val="2"/>
        <charset val="1"/>
      </rPr>
      <t xml:space="preserve">586 Avenue Général Cartier
73000 Chambéry
mardi au vendredi </t>
    </r>
    <r>
      <rPr>
        <b val="true"/>
        <sz val="14"/>
        <color rgb="FFFF0000"/>
        <rFont val="Arial"/>
        <family val="2"/>
        <charset val="1"/>
      </rPr>
      <t xml:space="preserve">9h00 - 12h00</t>
    </r>
  </si>
  <si>
    <t xml:space="preserve">Papiers
cartons
cartouches encre</t>
  </si>
  <si>
    <r>
      <rPr>
        <b val="true"/>
        <sz val="14"/>
        <color rgb="FF000000"/>
        <rFont val="Arial"/>
        <family val="2"/>
        <charset val="1"/>
      </rPr>
      <t xml:space="preserve">(68030) Banque Populaire AURA ALBERTVILLE + AE
</t>
    </r>
    <r>
      <rPr>
        <sz val="14"/>
        <color rgb="FF000000"/>
        <rFont val="Arial"/>
        <family val="2"/>
        <charset val="1"/>
      </rPr>
      <t xml:space="preserve">41, rue de la république
73200ALBERTVILLE
Mardi Mercredi Vendredi 
8h30 - 12h30 et 13h45 à 17h45
le Jeudi
8h30 - 12h00 et 13h45 à 17h45</t>
    </r>
  </si>
  <si>
    <r>
      <rPr>
        <b val="true"/>
        <sz val="18"/>
        <color rgb="FF000000"/>
        <rFont val="Arial"/>
        <family val="2"/>
        <charset val="1"/>
      </rPr>
      <t xml:space="preserve">(680) GEODIS Infrastructures
</t>
    </r>
    <r>
      <rPr>
        <sz val="18"/>
        <color rgb="FF000000"/>
        <rFont val="Arial"/>
        <family val="2"/>
        <charset val="1"/>
      </rPr>
      <t xml:space="preserve">11 Allée du Lac de Constance
73374 Le Bourget du Lac</t>
    </r>
  </si>
  <si>
    <t xml:space="preserve">1x770 P/C
1x360 P
1x360 MD</t>
  </si>
  <si>
    <r>
      <rPr>
        <b val="true"/>
        <sz val="14"/>
        <color rgb="FF000000"/>
        <rFont val="Arial"/>
        <family val="2"/>
        <charset val="1"/>
      </rPr>
      <t xml:space="preserve">(49088) DOLIN (B/B)
</t>
    </r>
    <r>
      <rPr>
        <sz val="14"/>
        <color rgb="FF000000"/>
        <rFont val="Arial"/>
        <family val="2"/>
        <charset val="1"/>
      </rPr>
      <t xml:space="preserve">1138 AVENUE DU GRAND ARIÉTAZ
73094 CHAMBÉRY
</t>
    </r>
  </si>
  <si>
    <t xml:space="preserve">2 SACS : Papiers
2 SACS : DIB
1 SAC : DEEE</t>
  </si>
  <si>
    <r>
      <rPr>
        <b val="true"/>
        <sz val="14"/>
        <color rgb="FF000000"/>
        <rFont val="Arial"/>
        <family val="2"/>
        <charset val="1"/>
      </rPr>
      <t xml:space="preserve">(24493) CADS Jules Ferry Chambéry
</t>
    </r>
    <r>
      <rPr>
        <sz val="14"/>
        <color rgb="FF000000"/>
        <rFont val="Arial"/>
        <family val="2"/>
        <charset val="1"/>
      </rPr>
      <t xml:space="preserve">277 Fbg Montmélian
73000 Chambéry
lundi         Fermé
mardi  au vendredi :  </t>
    </r>
    <r>
      <rPr>
        <b val="true"/>
        <sz val="14"/>
        <color rgb="FFFF0000"/>
        <rFont val="Arial"/>
        <family val="2"/>
        <charset val="1"/>
      </rPr>
      <t xml:space="preserve">09:00–12:00</t>
    </r>
  </si>
  <si>
    <r>
      <rPr>
        <b val="true"/>
        <sz val="14"/>
        <color rgb="FF000000"/>
        <rFont val="Arial"/>
        <family val="2"/>
        <charset val="1"/>
      </rPr>
      <t xml:space="preserve">(8412) CIC Albertville
</t>
    </r>
    <r>
      <rPr>
        <sz val="14"/>
        <color rgb="FF000000"/>
        <rFont val="Arial"/>
        <family val="2"/>
        <charset val="1"/>
      </rPr>
      <t xml:space="preserve">96 Rue de la République
73200 Albertville
mardi 9h00 - 12h30  / 14h00 - 18h00
mercredi au vendredi 9h00 - 12h30 /  13h30 - 18h00
</t>
    </r>
    <r>
      <rPr>
        <b val="true"/>
        <sz val="14"/>
        <color rgb="FFFF0000"/>
        <rFont val="Arial"/>
        <family val="2"/>
        <charset val="1"/>
      </rPr>
      <t xml:space="preserve">Si demande de l'agence : livrer 1 rouleau sacs noirs et/ou 1 rouleau de sacs transparents</t>
    </r>
  </si>
  <si>
    <r>
      <rPr>
        <b val="true"/>
        <sz val="18"/>
        <color rgb="FF000000"/>
        <rFont val="Arial"/>
        <family val="2"/>
        <charset val="1"/>
      </rPr>
      <t xml:space="preserve">(680) GEODIS Infrastructures
</t>
    </r>
    <r>
      <rPr>
        <sz val="18"/>
        <color rgb="FF000000"/>
        <rFont val="Arial"/>
        <family val="2"/>
        <charset val="1"/>
      </rPr>
      <t xml:space="preserve">3 Allée du Lac de Constance
73374 Le Bourget du Lac</t>
    </r>
  </si>
  <si>
    <t xml:space="preserve">Ne pas prendre 
les bacs</t>
  </si>
  <si>
    <r>
      <rPr>
        <b val="true"/>
        <sz val="14"/>
        <color rgb="FF000000"/>
        <rFont val="Arial"/>
        <family val="2"/>
        <charset val="1"/>
      </rPr>
      <t xml:space="preserve">2x770 sécu
DIB
</t>
    </r>
    <r>
      <rPr>
        <b val="true"/>
        <sz val="14"/>
        <color rgb="FFFF0000"/>
        <rFont val="Arial"/>
        <family val="2"/>
        <charset val="1"/>
      </rPr>
      <t xml:space="preserve">clef triangle</t>
    </r>
  </si>
  <si>
    <r>
      <rPr>
        <b val="true"/>
        <sz val="14"/>
        <color rgb="FF000000"/>
        <rFont val="Arial"/>
        <family val="2"/>
        <charset val="1"/>
      </rPr>
      <t xml:space="preserve">(24853) ANDERLAINE (Ex : SR CONSEIL) CHAMBERY
</t>
    </r>
    <r>
      <rPr>
        <sz val="14"/>
        <color rgb="FF000000"/>
        <rFont val="Arial"/>
        <family val="2"/>
        <charset val="1"/>
      </rPr>
      <t xml:space="preserve">Batiment Iris
121 Albert Sylvestre
73000 Chambéry
</t>
    </r>
    <r>
      <rPr>
        <b val="true"/>
        <sz val="14"/>
        <color rgb="FF000000"/>
        <rFont val="Arial"/>
        <family val="2"/>
        <charset val="1"/>
      </rPr>
      <t xml:space="preserve">
Sacs</t>
    </r>
  </si>
  <si>
    <t xml:space="preserve">Papiers
Gobelets carton
Bouteilles plastiquer
Capsules café</t>
  </si>
  <si>
    <r>
      <rPr>
        <b val="true"/>
        <sz val="14"/>
        <color rgb="FF000000"/>
        <rFont val="Arial"/>
        <family val="2"/>
        <charset val="1"/>
      </rPr>
      <t xml:space="preserve">(24491) CADS Château Chambéry
</t>
    </r>
    <r>
      <rPr>
        <sz val="14"/>
        <color rgb="FF000000"/>
        <rFont val="Arial"/>
        <family val="2"/>
        <charset val="1"/>
      </rPr>
      <t xml:space="preserve">2 Pl. du Château
73000 Chambéry
lundi           Fermé
mardi -vendredi         09:00–12:00, 14:00–17:00
</t>
    </r>
  </si>
  <si>
    <r>
      <rPr>
        <b val="true"/>
        <sz val="14"/>
        <color rgb="FF000000"/>
        <rFont val="Arial"/>
        <family val="2"/>
        <charset val="1"/>
      </rPr>
      <t xml:space="preserve">(10969) LCL Albertville
</t>
    </r>
    <r>
      <rPr>
        <sz val="14"/>
        <color rgb="FF000000"/>
        <rFont val="Arial"/>
        <family val="2"/>
        <charset val="1"/>
      </rPr>
      <t xml:space="preserve">47 Rue de la République
73200 Albertville
mardi, mercredi, vendredi 8h30 - 12h00 /  13h30 - 18h00
jeudi 8h30 - 12h00  / 14h30 - 18h00
</t>
    </r>
    <r>
      <rPr>
        <b val="true"/>
        <sz val="14"/>
        <color rgb="FFFF0000"/>
        <rFont val="Arial"/>
        <family val="2"/>
        <charset val="1"/>
      </rPr>
      <t xml:space="preserve">COLLECTE DIB </t>
    </r>
  </si>
  <si>
    <r>
      <rPr>
        <b val="true"/>
        <sz val="18"/>
        <color rgb="FF000000"/>
        <rFont val="Arial"/>
        <family val="2"/>
        <charset val="1"/>
      </rPr>
      <t xml:space="preserve">(79030) AFTRAL CAMPUS
</t>
    </r>
    <r>
      <rPr>
        <b val="true"/>
        <sz val="18"/>
        <color rgb="FFFF0000"/>
        <rFont val="Arial"/>
        <family val="2"/>
        <charset val="1"/>
      </rPr>
      <t xml:space="preserve">Badge
</t>
    </r>
    <r>
      <rPr>
        <sz val="18"/>
        <color rgb="FF000000"/>
        <rFont val="Arial"/>
        <family val="2"/>
        <charset val="1"/>
      </rPr>
      <t xml:space="preserve">11 Allée Constance
batiment Athena
73370 Bourget du Lac
06 79 49 25 92
</t>
    </r>
    <r>
      <rPr>
        <b val="true"/>
        <sz val="18"/>
        <color rgb="FF000000"/>
        <rFont val="Arial"/>
        <family val="2"/>
        <charset val="1"/>
      </rPr>
      <t xml:space="preserve">Prendre triangle et clef</t>
    </r>
  </si>
  <si>
    <t xml:space="preserve">Papier 
Carton 
BP
verre
essuie mains
petit materiel bureaux
1x120 sécu et 1x770 sécu</t>
  </si>
  <si>
    <r>
      <rPr>
        <b val="true"/>
        <sz val="14"/>
        <color rgb="FF000000"/>
        <rFont val="Arial"/>
        <family val="2"/>
        <charset val="1"/>
      </rPr>
      <t xml:space="preserve">(24886) SOCOTEC Chambéry
</t>
    </r>
    <r>
      <rPr>
        <sz val="14"/>
        <color rgb="FF000000"/>
        <rFont val="Arial"/>
        <family val="2"/>
        <charset val="1"/>
      </rPr>
      <t xml:space="preserve">256 Rue François Guise
73000 Chambéry
lundi au vendredi 8h00 - 12h45   13h30 - 17h30
</t>
    </r>
    <r>
      <rPr>
        <b val="true"/>
        <sz val="14"/>
        <color rgb="FF000000"/>
        <rFont val="Arial"/>
        <family val="2"/>
        <charset val="1"/>
      </rPr>
      <t xml:space="preserve">Sacs</t>
    </r>
  </si>
  <si>
    <t xml:space="preserve">sacs</t>
  </si>
  <si>
    <r>
      <rPr>
        <b val="true"/>
        <sz val="14"/>
        <color rgb="FF000000"/>
        <rFont val="Arial"/>
        <family val="2"/>
        <charset val="1"/>
      </rPr>
      <t xml:space="preserve">(24495) CADS Chambéry St Antoine
</t>
    </r>
    <r>
      <rPr>
        <sz val="14"/>
        <color rgb="FF000000"/>
        <rFont val="Arial"/>
        <family val="2"/>
        <charset val="1"/>
      </rPr>
      <t xml:space="preserve">6 Rue Saint-Antoine
73000 Chambéry
mardi au vendredi </t>
    </r>
    <r>
      <rPr>
        <b val="true"/>
        <sz val="14"/>
        <color rgb="FFFF0000"/>
        <rFont val="Arial"/>
        <family val="2"/>
        <charset val="1"/>
      </rPr>
      <t xml:space="preserve">9h00 - 12h00</t>
    </r>
  </si>
  <si>
    <r>
      <rPr>
        <b val="true"/>
        <sz val="14"/>
        <color rgb="FF000000"/>
        <rFont val="Arial"/>
        <family val="2"/>
        <charset val="1"/>
      </rPr>
      <t xml:space="preserve">(9672) LIP industrie et batiment Albertville
</t>
    </r>
    <r>
      <rPr>
        <sz val="14"/>
        <color rgb="FF000000"/>
        <rFont val="Arial"/>
        <family val="2"/>
        <charset val="1"/>
      </rPr>
      <t xml:space="preserve">1 Place Grenette
73200 Albertville
lundi au vendredi 8h00 - 12h00  / 14h00 - 18h00</t>
    </r>
  </si>
  <si>
    <r>
      <rPr>
        <b val="true"/>
        <sz val="14"/>
        <color rgb="FFFF0000"/>
        <rFont val="Arial"/>
        <family val="2"/>
        <charset val="1"/>
      </rPr>
      <t xml:space="preserve">DIB et BIO DECHET
</t>
    </r>
    <r>
      <rPr>
        <b val="true"/>
        <sz val="20"/>
        <color rgb="FFFF0000"/>
        <rFont val="Arial"/>
        <family val="2"/>
        <charset val="1"/>
      </rPr>
      <t xml:space="preserve">UNIQUEMENT</t>
    </r>
  </si>
  <si>
    <t xml:space="preserve">BIODECHETS
1x10L</t>
  </si>
  <si>
    <r>
      <rPr>
        <b val="true"/>
        <sz val="14"/>
        <color rgb="FF000000"/>
        <rFont val="Arial"/>
        <family val="2"/>
        <charset val="1"/>
      </rPr>
      <t xml:space="preserve">(24802) NS CONSEIL (NAU Courtier Conseil) (A/B)
</t>
    </r>
    <r>
      <rPr>
        <sz val="14"/>
        <color rgb="FF000000"/>
        <rFont val="Arial"/>
        <family val="2"/>
        <charset val="1"/>
      </rPr>
      <t xml:space="preserve">91 rue Philibert Routin
73000 Chambéry
</t>
    </r>
    <r>
      <rPr>
        <b val="true"/>
        <sz val="14"/>
        <color rgb="FFFF0000"/>
        <rFont val="Arial"/>
        <family val="2"/>
        <charset val="1"/>
      </rPr>
      <t xml:space="preserve">3ème étage  --&gt; Sonner au 3ème étage (CAPIFRANCE)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sz val="14"/>
        <color rgb="FF000000"/>
        <rFont val="Arial"/>
        <family val="2"/>
        <charset val="1"/>
      </rPr>
      <t xml:space="preserve">lundi au vendredi 8h - 19h
</t>
    </r>
    <r>
      <rPr>
        <b val="true"/>
        <sz val="14"/>
        <color rgb="FF000000"/>
        <rFont val="Arial"/>
        <family val="2"/>
        <charset val="1"/>
      </rPr>
      <t xml:space="preserve">
Corbeilles fermées</t>
    </r>
  </si>
  <si>
    <r>
      <rPr>
        <b val="true"/>
        <sz val="14"/>
        <color rgb="FF000000"/>
        <rFont val="Arial"/>
        <family val="2"/>
        <charset val="1"/>
      </rPr>
      <t xml:space="preserve">(24494) CADS Chambéry Le Haut
</t>
    </r>
    <r>
      <rPr>
        <sz val="14"/>
        <color rgb="FF000000"/>
        <rFont val="Arial"/>
        <family val="2"/>
        <charset val="1"/>
      </rPr>
      <t xml:space="preserve">99 Avenue d'Annecy
73000 Chambéry
mardi au vendredi </t>
    </r>
    <r>
      <rPr>
        <b val="true"/>
        <sz val="14"/>
        <color rgb="FFFF0000"/>
        <rFont val="Arial"/>
        <family val="2"/>
        <charset val="1"/>
      </rPr>
      <t xml:space="preserve">9h00 - 12h00</t>
    </r>
  </si>
  <si>
    <r>
      <rPr>
        <b val="true"/>
        <sz val="14"/>
        <color rgb="FF000000"/>
        <rFont val="Arial"/>
        <family val="2"/>
        <charset val="1"/>
      </rPr>
      <t xml:space="preserve">(24546) Cerfrance Albertville
</t>
    </r>
    <r>
      <rPr>
        <sz val="14"/>
        <color rgb="FF000000"/>
        <rFont val="Arial"/>
        <family val="2"/>
        <charset val="1"/>
      </rPr>
      <t xml:space="preserve">Immeuble le Cairn
21 Avenue des Chasseurs Alpins
73200 Albertville
lundi au vendredi 8h00 - 12h00  / 14h00 - 17h00
</t>
    </r>
    <r>
      <rPr>
        <b val="true"/>
        <sz val="14"/>
        <color rgb="FFFF0000"/>
        <rFont val="Arial"/>
        <family val="2"/>
        <charset val="1"/>
      </rPr>
      <t xml:space="preserve">1er et 2ème  étage</t>
    </r>
  </si>
  <si>
    <t xml:space="preserve">Corbeilles fermées</t>
  </si>
  <si>
    <r>
      <rPr>
        <b val="true"/>
        <sz val="18"/>
        <color rgb="FF000000"/>
        <rFont val="Arial"/>
        <family val="2"/>
        <charset val="1"/>
      </rPr>
      <t xml:space="preserve">(34887) SULLY LE BOURGET DU LAC
</t>
    </r>
    <r>
      <rPr>
        <sz val="18"/>
        <color rgb="FF000000"/>
        <rFont val="Arial"/>
        <family val="2"/>
        <charset val="1"/>
      </rPr>
      <t xml:space="preserve">11 allée Lac de Constance - Bâtiment Athéna
Savoie Technolac - BP 90356
73370 LE BOURGET DU LAC
</t>
    </r>
    <r>
      <rPr>
        <b val="true"/>
        <sz val="18"/>
        <color rgb="FFFF0000"/>
        <rFont val="Arial"/>
        <family val="2"/>
        <charset val="1"/>
      </rPr>
      <t xml:space="preserve">Travaux de aout à fin novembre
Mme Raphaelle BELLIARD 
Téléphone 06.82.63.40.08</t>
    </r>
  </si>
  <si>
    <t xml:space="preserve">360 DIB 
SECU</t>
  </si>
  <si>
    <r>
      <rPr>
        <b val="true"/>
        <sz val="14"/>
        <rFont val="Arial Nova Light"/>
        <family val="2"/>
        <charset val="1"/>
      </rPr>
      <t xml:space="preserve">(8651) KILOUTOU Chambéry
</t>
    </r>
    <r>
      <rPr>
        <sz val="14"/>
        <rFont val="Arial Nova Light"/>
        <family val="2"/>
        <charset val="1"/>
      </rPr>
      <t xml:space="preserve">2773 Av. des Landiers
73000 Chambéry
</t>
    </r>
    <r>
      <rPr>
        <b val="true"/>
        <sz val="14"/>
        <rFont val="Arial Nova Light"/>
        <family val="2"/>
        <charset val="1"/>
      </rPr>
      <t xml:space="preserve">1x360 p + 1x770 MD</t>
    </r>
  </si>
  <si>
    <r>
      <rPr>
        <b val="true"/>
        <sz val="14"/>
        <color rgb="FF000000"/>
        <rFont val="Arial"/>
        <family val="2"/>
        <charset val="1"/>
      </rPr>
      <t xml:space="preserve">(24492) CADS Chambéry Comte Vert (A/D)
</t>
    </r>
    <r>
      <rPr>
        <sz val="14"/>
        <color rgb="FF000000"/>
        <rFont val="Arial"/>
        <family val="2"/>
        <charset val="1"/>
      </rPr>
      <t xml:space="preserve">280 Avenue du Comte Vert
73000 Chambéry
mardi  vendredi 9h00 - 12h00   14h00 - 17h00</t>
    </r>
  </si>
  <si>
    <t xml:space="preserve">Papiers
cartons </t>
  </si>
  <si>
    <r>
      <rPr>
        <b val="true"/>
        <sz val="14"/>
        <color rgb="FF000000"/>
        <rFont val="Arial"/>
        <family val="2"/>
        <charset val="1"/>
      </rPr>
      <t xml:space="preserve">(24482) CADS Albertville Gambetta (TD 6565)
</t>
    </r>
    <r>
      <rPr>
        <sz val="14"/>
        <color rgb="FF000000"/>
        <rFont val="Arial"/>
        <family val="2"/>
        <charset val="1"/>
      </rPr>
      <t xml:space="preserve">10 Rue Gambetta
73200 Albertville
mardi au vendredi 9h00 - 12h00  / 14h00 - 17h00</t>
    </r>
  </si>
  <si>
    <r>
      <rPr>
        <b val="true"/>
        <sz val="18"/>
        <color rgb="FF000000"/>
        <rFont val="Arial"/>
        <family val="2"/>
        <charset val="1"/>
      </rPr>
      <t xml:space="preserve">(2726) CABINET AUDREX LE BOURGET DU LAC
</t>
    </r>
    <r>
      <rPr>
        <sz val="18"/>
        <color rgb="FF000000"/>
        <rFont val="Arial"/>
        <family val="2"/>
        <charset val="1"/>
      </rPr>
      <t xml:space="preserve">19 rue de Lac Saint André
Bâtiment Le Fennec
73370 LE BOURGET DU LAC</t>
    </r>
  </si>
  <si>
    <t xml:space="preserve">1x Bioseau 20L</t>
  </si>
  <si>
    <r>
      <rPr>
        <b val="true"/>
        <sz val="14"/>
        <color rgb="FF000000"/>
        <rFont val="Arial"/>
        <family val="2"/>
        <charset val="1"/>
      </rPr>
      <t xml:space="preserve">(73863) MAISON LIP CHAMBERY
</t>
    </r>
    <r>
      <rPr>
        <sz val="14"/>
        <color rgb="FF000000"/>
        <rFont val="Arial"/>
        <family val="2"/>
        <charset val="1"/>
      </rPr>
      <t xml:space="preserve">2A Rue Simone Veil
73000 BASSENS
</t>
    </r>
    <r>
      <rPr>
        <b val="true"/>
        <sz val="14"/>
        <color rgb="FF000000"/>
        <rFont val="Arial"/>
        <family val="2"/>
        <charset val="1"/>
      </rPr>
      <t xml:space="preserve">
2 Aquiluxs papier
</t>
    </r>
    <r>
      <rPr>
        <b val="true"/>
        <sz val="14"/>
        <color rgb="FFFF0000"/>
        <rFont val="Arial"/>
        <family val="2"/>
        <charset val="1"/>
      </rPr>
      <t xml:space="preserve">Code portail parking : 9818</t>
    </r>
  </si>
  <si>
    <r>
      <rPr>
        <b val="true"/>
        <sz val="14"/>
        <color rgb="FF000000"/>
        <rFont val="Arial"/>
        <family val="2"/>
        <charset val="1"/>
      </rPr>
      <t xml:space="preserve">(8434) CIC Comte Vert Chambéry  (B/D)
</t>
    </r>
    <r>
      <rPr>
        <sz val="14"/>
        <color rgb="FF000000"/>
        <rFont val="Arial"/>
        <family val="2"/>
        <charset val="1"/>
      </rPr>
      <t xml:space="preserve">76 Av. du Comte Vert
73000 Chambéry
lundi            Fermé
mardi-vendredi  09:00–12:30, 14:00–18:00
</t>
    </r>
  </si>
  <si>
    <r>
      <rPr>
        <b val="true"/>
        <sz val="14"/>
        <color rgb="FF000000"/>
        <rFont val="Arial"/>
        <family val="2"/>
        <charset val="1"/>
      </rPr>
      <t xml:space="preserve">(8273) CERA Albertville Centre
</t>
    </r>
    <r>
      <rPr>
        <sz val="14"/>
        <color rgb="FF000000"/>
        <rFont val="Arial"/>
        <family val="2"/>
        <charset val="1"/>
      </rPr>
      <t xml:space="preserve">1 Place du Théatre
73200 Albertville
mardi au vendredi 9h15 - 12h30  / 13h30 - 18h00</t>
    </r>
  </si>
  <si>
    <r>
      <rPr>
        <b val="true"/>
        <sz val="18"/>
        <color rgb="FF000000"/>
        <rFont val="Arial"/>
        <family val="2"/>
        <charset val="1"/>
      </rPr>
      <t xml:space="preserve">(2726) CABINET AUDREX LE BOURGET DU LAC
</t>
    </r>
    <r>
      <rPr>
        <sz val="18"/>
        <color rgb="FF000000"/>
        <rFont val="Arial"/>
        <family val="2"/>
        <charset val="1"/>
      </rPr>
      <t xml:space="preserve">19 rue de Lac Saint André
Bâtiment Le Fennec
73370 LE BOURGET DU LAC
</t>
    </r>
    <r>
      <rPr>
        <b val="true"/>
        <sz val="18"/>
        <color rgb="FFFF0000"/>
        <rFont val="Arial"/>
        <family val="2"/>
        <charset val="1"/>
      </rPr>
      <t xml:space="preserve">Caisson confidentiel</t>
    </r>
  </si>
  <si>
    <t xml:space="preserve">Corbeilles confidentiel</t>
  </si>
  <si>
    <r>
      <rPr>
        <b val="true"/>
        <sz val="14"/>
        <color rgb="FF000000"/>
        <rFont val="Arial"/>
        <family val="2"/>
        <charset val="1"/>
      </rPr>
      <t xml:space="preserve">(24403) AGIR A DOM Cognin
</t>
    </r>
    <r>
      <rPr>
        <sz val="14"/>
        <color rgb="FF000000"/>
        <rFont val="Arial"/>
        <family val="2"/>
        <charset val="1"/>
      </rPr>
      <t xml:space="preserve">55 chemin de Foray
73160 Cognin
</t>
    </r>
    <r>
      <rPr>
        <b val="true"/>
        <sz val="14"/>
        <color rgb="FF000000"/>
        <rFont val="Arial"/>
        <family val="2"/>
        <charset val="1"/>
      </rPr>
      <t xml:space="preserve">360P/MD sécu</t>
    </r>
  </si>
  <si>
    <t xml:space="preserve">Papiers
Cartons
Gobelets carton
Bouteilles plastique
Piles</t>
  </si>
  <si>
    <r>
      <rPr>
        <b val="true"/>
        <sz val="14"/>
        <color rgb="FF000000"/>
        <rFont val="Arial"/>
        <family val="2"/>
        <charset val="1"/>
      </rPr>
      <t xml:space="preserve">(48088) MAAF-CHAMBERY  (C/D)
</t>
    </r>
    <r>
      <rPr>
        <sz val="14"/>
        <color rgb="FF000000"/>
        <rFont val="Arial"/>
        <family val="2"/>
        <charset val="1"/>
      </rPr>
      <t xml:space="preserve">318  Avenue du Comte Vert 
73000 CHAMBERY 
04799643310 
9h 12h  12h 14h30 17h45 
1,2,3,4,5 
</t>
    </r>
    <r>
      <rPr>
        <b val="true"/>
        <sz val="14"/>
        <color rgb="FF000000"/>
        <rFont val="Arial"/>
        <family val="2"/>
        <charset val="1"/>
      </rPr>
      <t xml:space="preserve">Collecte à la corbeille</t>
    </r>
  </si>
  <si>
    <r>
      <rPr>
        <b val="true"/>
        <sz val="14"/>
        <color rgb="FF000000"/>
        <rFont val="Arial"/>
        <family val="2"/>
        <charset val="1"/>
      </rPr>
      <t xml:space="preserve">(8274) CERA Albertville Ste Thérèse
</t>
    </r>
    <r>
      <rPr>
        <sz val="14"/>
        <color rgb="FF000000"/>
        <rFont val="Arial"/>
        <family val="2"/>
        <charset val="1"/>
      </rPr>
      <t xml:space="preserve">770 Rue Commandant Dubois
73200 Albertville
mardi au vendredi 9h15 - 12h30  / 13h30 - 18h00</t>
    </r>
  </si>
  <si>
    <r>
      <rPr>
        <b val="true"/>
        <sz val="18"/>
        <color rgb="FF000000"/>
        <rFont val="Arial"/>
        <family val="2"/>
        <charset val="1"/>
      </rPr>
      <t xml:space="preserve">(1570) LCL Aix les Bains
</t>
    </r>
    <r>
      <rPr>
        <sz val="18"/>
        <color rgb="FF000000"/>
        <rFont val="Arial"/>
        <family val="2"/>
        <charset val="1"/>
      </rPr>
      <t xml:space="preserve">8 Place Carnot
73100 Aix-les-Bains
</t>
    </r>
    <r>
      <rPr>
        <b val="true"/>
        <sz val="18"/>
        <color rgb="FFFF0000"/>
        <rFont val="Arial"/>
        <family val="2"/>
        <charset val="1"/>
      </rPr>
      <t xml:space="preserve">mardi, mercredi, vendredi 8h30 - 12h00   13h30 - 17h45
jeudi 8h30 - 12h00   14h30 - 17h45</t>
    </r>
  </si>
  <si>
    <t xml:space="preserve">EXUTOIRE</t>
  </si>
  <si>
    <r>
      <rPr>
        <b val="true"/>
        <sz val="14"/>
        <color rgb="FF000000"/>
        <rFont val="Arial"/>
        <family val="2"/>
        <charset val="1"/>
      </rPr>
      <t xml:space="preserve">Centre de Compostage de Murianette
</t>
    </r>
    <r>
      <rPr>
        <sz val="14"/>
        <color rgb="FF000000"/>
        <rFont val="Arial"/>
        <family val="2"/>
        <charset val="1"/>
      </rPr>
      <t xml:space="preserve">Le Mas de I'le
38420 MURIANETTE</t>
    </r>
  </si>
  <si>
    <t xml:space="preserve">VIDER TOUT LES BACS BIODECHETS DU DEPOT LA-BAS (VOIR PROTOCOLE)</t>
  </si>
  <si>
    <r>
      <rPr>
        <b val="true"/>
        <sz val="14"/>
        <color rgb="FF000000"/>
        <rFont val="Arial"/>
        <family val="2"/>
        <charset val="1"/>
      </rPr>
      <t xml:space="preserve">(48639) GMF - CHAMBERY  (D/D)
</t>
    </r>
    <r>
      <rPr>
        <sz val="14"/>
        <color rgb="FF000000"/>
        <rFont val="Arial"/>
        <family val="2"/>
        <charset val="1"/>
      </rPr>
      <t xml:space="preserve">114  Avenue du Comte Vert 
73000 CHAMBERY 
0479964331 
Mardi au vendredi : 9h-12h30  / 13h30-17h45 
</t>
    </r>
    <r>
      <rPr>
        <b val="true"/>
        <sz val="14"/>
        <color rgb="FF000000"/>
        <rFont val="Arial"/>
        <family val="2"/>
        <charset val="1"/>
      </rPr>
      <t xml:space="preserve">Collecte à la corbeille</t>
    </r>
  </si>
  <si>
    <r>
      <rPr>
        <b val="true"/>
        <sz val="14"/>
        <color rgb="FF000000"/>
        <rFont val="Arial"/>
        <family val="2"/>
        <charset val="1"/>
      </rPr>
      <t xml:space="preserve">(24480) CADS Albertville Arcalod (TD 7869)
</t>
    </r>
    <r>
      <rPr>
        <sz val="14"/>
        <color rgb="FF000000"/>
        <rFont val="Arial"/>
        <family val="2"/>
        <charset val="1"/>
      </rPr>
      <t xml:space="preserve">55 Avenue Général de Gaulle
73200 Albertville
mardi au vendredi 9h00 - 12h00  / 14h00 - 17h00
</t>
    </r>
    <r>
      <rPr>
        <b val="true"/>
        <sz val="18"/>
        <color rgb="FFFF0000"/>
        <rFont val="Arial"/>
        <family val="2"/>
        <charset val="1"/>
      </rPr>
      <t xml:space="preserve">Fermé au public mais ouvert aux collecteurs 
SONNER ET PATIENTER</t>
    </r>
  </si>
  <si>
    <r>
      <rPr>
        <b val="true"/>
        <sz val="18"/>
        <color rgb="FF000000"/>
        <rFont val="Arial"/>
        <family val="2"/>
        <charset val="1"/>
      </rPr>
      <t xml:space="preserve">(3162) Ovelia Le pavillon Victoria 
</t>
    </r>
    <r>
      <rPr>
        <sz val="18"/>
        <color rgb="FF000000"/>
        <rFont val="Arial"/>
        <family val="2"/>
        <charset val="1"/>
      </rPr>
      <t xml:space="preserve">2 Ter Avenue Victoria
73100 Aix lex bains</t>
    </r>
  </si>
  <si>
    <t xml:space="preserve">2x/semaine</t>
  </si>
  <si>
    <t xml:space="preserve">BIODECHETS
1x20L</t>
  </si>
  <si>
    <r>
      <rPr>
        <b val="true"/>
        <sz val="14"/>
        <color rgb="FF000000"/>
        <rFont val="Arial"/>
        <family val="2"/>
        <charset val="1"/>
      </rPr>
      <t xml:space="preserve">(8300) CERA, Colonne Chambéry (A/C)
</t>
    </r>
    <r>
      <rPr>
        <sz val="14"/>
        <color rgb="FF000000"/>
        <rFont val="Arial"/>
        <family val="2"/>
        <charset val="1"/>
      </rPr>
      <t xml:space="preserve">14 Bd de la Colonne
73000 Chambéry
lundi           Fermé
mardi-vendredi     09:15–12:30, 13:30–18:00
</t>
    </r>
  </si>
  <si>
    <t xml:space="preserve">Papiers
cartons</t>
  </si>
  <si>
    <r>
      <rPr>
        <b val="true"/>
        <sz val="14"/>
        <color rgb="FF000000"/>
        <rFont val="Arial"/>
        <family val="2"/>
        <charset val="1"/>
      </rPr>
      <t xml:space="preserve">(24896) ANDERLAINE (SR CONSEIL)  ALBERTVILLE
</t>
    </r>
    <r>
      <rPr>
        <sz val="14"/>
        <color rgb="FF000000"/>
        <rFont val="Arial"/>
        <family val="2"/>
        <charset val="1"/>
      </rPr>
      <t xml:space="preserve">85 Rue Renée Cassin
73200 Albertville</t>
    </r>
  </si>
  <si>
    <r>
      <rPr>
        <b val="true"/>
        <sz val="18"/>
        <color rgb="FF000000"/>
        <rFont val="Arial"/>
        <family val="2"/>
        <charset val="1"/>
      </rPr>
      <t xml:space="preserve">(250 ) CADS Aix Sud (TD 2252)
</t>
    </r>
    <r>
      <rPr>
        <sz val="18"/>
        <color rgb="FF000000"/>
        <rFont val="Arial"/>
        <family val="2"/>
        <charset val="1"/>
      </rPr>
      <t xml:space="preserve">167 Avenue du Golf
73420 Drumettaz-Clarafond
</t>
    </r>
    <r>
      <rPr>
        <b val="true"/>
        <sz val="18"/>
        <color rgb="FFFF0000"/>
        <rFont val="Arial"/>
        <family val="2"/>
        <charset val="1"/>
      </rPr>
      <t xml:space="preserve">mardi au vendredi 9h00 - 12h00</t>
    </r>
  </si>
  <si>
    <t xml:space="preserve">corbeilles</t>
  </si>
  <si>
    <r>
      <rPr>
        <b val="true"/>
        <sz val="14"/>
        <color rgb="FF000000"/>
        <rFont val="Arial"/>
        <family val="2"/>
        <charset val="1"/>
      </rPr>
      <t xml:space="preserve">(24746) LCL Chambéry Colonne (B/C)
</t>
    </r>
    <r>
      <rPr>
        <sz val="14"/>
        <color rgb="FF000000"/>
        <rFont val="Arial"/>
        <family val="2"/>
        <charset val="1"/>
      </rPr>
      <t xml:space="preserve">26 Boulevard de la Colonne
73000 Chambéry
mardi, mercredi, vendredi 8h30 - 12h00  13h30 - 18h00
jeudi 8h30 - 12h00   14h30 - 18h00</t>
    </r>
  </si>
  <si>
    <r>
      <rPr>
        <b val="true"/>
        <sz val="14"/>
        <color rgb="FF000000"/>
        <rFont val="Arial"/>
        <family val="2"/>
        <charset val="1"/>
      </rPr>
      <t xml:space="preserve">(64822) MMV LES SAISIES - CHALET DES CIMES
</t>
    </r>
    <r>
      <rPr>
        <sz val="14"/>
        <color rgb="FF000000"/>
        <rFont val="Arial"/>
        <family val="2"/>
        <charset val="1"/>
      </rPr>
      <t xml:space="preserve">RT LES CHALETS DES CIMES - LES SAISIES
401 Avenue des cimes
 73620  HAUTELUCE (les saisies)
</t>
    </r>
    <r>
      <rPr>
        <b val="true"/>
        <sz val="14"/>
        <color rgb="FFFF0000"/>
        <rFont val="Arial"/>
        <family val="2"/>
        <charset val="1"/>
      </rPr>
      <t xml:space="preserve">
Du 27/06/26 au 29/08/26</t>
    </r>
  </si>
  <si>
    <r>
      <rPr>
        <b val="true"/>
        <sz val="18"/>
        <color rgb="FF000000"/>
        <rFont val="Arial"/>
        <family val="2"/>
        <charset val="1"/>
      </rPr>
      <t xml:space="preserve">(371) Casino Shop Lescheraines
</t>
    </r>
    <r>
      <rPr>
        <sz val="18"/>
        <color rgb="FF000000"/>
        <rFont val="Arial"/>
        <family val="2"/>
        <charset val="1"/>
      </rPr>
      <t xml:space="preserve">73340 Lescheraines
</t>
    </r>
    <r>
      <rPr>
        <b val="true"/>
        <sz val="18"/>
        <color rgb="FFFF0000"/>
        <rFont val="Arial"/>
        <family val="2"/>
        <charset val="1"/>
      </rPr>
      <t xml:space="preserve">lundi, mardi, jeudi, vendredi 8h00 - 12h30   14h30 - 19h00</t>
    </r>
  </si>
  <si>
    <t xml:space="preserve">2x770 cartons</t>
  </si>
  <si>
    <r>
      <rPr>
        <b val="true"/>
        <sz val="14"/>
        <color rgb="FF000000"/>
        <rFont val="Arial"/>
        <family val="2"/>
        <charset val="1"/>
      </rPr>
      <t xml:space="preserve">(8673) LCL Chambéry Banque Privée (C/C)
</t>
    </r>
    <r>
      <rPr>
        <sz val="14"/>
        <color rgb="FF000000"/>
        <rFont val="Arial"/>
        <family val="2"/>
        <charset val="1"/>
      </rPr>
      <t xml:space="preserve">28 Boulevard de la Colonne
73000 Chambéry
lundi au vendredi 8h45 - 12h00   13h30 - 17h45</t>
    </r>
  </si>
  <si>
    <r>
      <rPr>
        <b val="true"/>
        <sz val="14"/>
        <color rgb="FF000000"/>
        <rFont val="Arial"/>
        <family val="2"/>
        <charset val="1"/>
      </rPr>
      <t xml:space="preserve">(48092) MAAF-CHAMBERY (C.EXP) 
</t>
    </r>
    <r>
      <rPr>
        <sz val="14"/>
        <color rgb="FF000000"/>
        <rFont val="Arial"/>
        <family val="2"/>
        <charset val="1"/>
      </rPr>
      <t xml:space="preserve">306  Rue Jules Bocquin 
73002 CHAMBERY
0479964331 
Mardi au  vendredi : 9h-12h30 / 13h30-17h45 
2,3,4,5 
</t>
    </r>
    <r>
      <rPr>
        <b val="true"/>
        <sz val="14"/>
        <color rgb="FF000000"/>
        <rFont val="Arial"/>
        <family val="2"/>
        <charset val="1"/>
      </rPr>
      <t xml:space="preserve">Collecte à la corbeille
</t>
    </r>
    <r>
      <rPr>
        <b val="true"/>
        <sz val="14"/>
        <color rgb="FFFF0000"/>
        <rFont val="Arial"/>
        <family val="2"/>
        <charset val="1"/>
      </rPr>
      <t xml:space="preserve">(Entrée APF - MAAF - IREPS)
Bureaux MAAF - 1er et 2ème étage</t>
    </r>
  </si>
  <si>
    <r>
      <rPr>
        <b val="true"/>
        <sz val="14"/>
        <color rgb="FF000000"/>
        <rFont val="Arial"/>
        <family val="2"/>
        <charset val="1"/>
      </rPr>
      <t xml:space="preserve">(76971) CONSTRUCTEL SAINT BADOLPH
</t>
    </r>
    <r>
      <rPr>
        <sz val="14"/>
        <color rgb="FF000000"/>
        <rFont val="Arial"/>
        <family val="2"/>
        <charset val="1"/>
      </rPr>
      <t xml:space="preserve">98 Chemin de la Saint-Martin
73190 SAINT-BADOLPH
Lundi au Vendredi : 8h-12h / 14h-17h
</t>
    </r>
    <r>
      <rPr>
        <b val="true"/>
        <sz val="14"/>
        <color rgb="FF000000"/>
        <rFont val="Arial"/>
        <family val="2"/>
        <charset val="1"/>
      </rPr>
      <t xml:space="preserve">
1x360 Papiers/Cartons </t>
    </r>
    <r>
      <rPr>
        <b val="true"/>
        <u val="single"/>
        <sz val="14"/>
        <color rgb="FFFF0000"/>
        <rFont val="Arial"/>
        <family val="2"/>
        <charset val="1"/>
      </rPr>
      <t xml:space="preserve">SECU </t>
    </r>
    <r>
      <rPr>
        <b val="true"/>
        <sz val="14"/>
        <color rgb="FF000000"/>
        <rFont val="Arial"/>
        <family val="2"/>
        <charset val="1"/>
      </rPr>
      <t xml:space="preserve">+ 1x360 MD </t>
    </r>
    <r>
      <rPr>
        <b val="true"/>
        <u val="single"/>
        <sz val="14"/>
        <color rgb="FFFF0000"/>
        <rFont val="Arial"/>
        <family val="2"/>
        <charset val="1"/>
      </rPr>
      <t xml:space="preserve">SECU</t>
    </r>
  </si>
  <si>
    <t xml:space="preserve">Papiers
Cartons
Gobelets Cartons
Canettes
Bouteilles PET
Emballages en mélange
Verre
Piles (ALD)</t>
  </si>
  <si>
    <r>
      <rPr>
        <b val="true"/>
        <sz val="14"/>
        <color rgb="FF000000"/>
        <rFont val="Arial"/>
        <family val="2"/>
        <charset val="1"/>
      </rPr>
      <t xml:space="preserve">(88085) TECALPES
</t>
    </r>
    <r>
      <rPr>
        <sz val="14"/>
        <color rgb="FF000000"/>
        <rFont val="Arial"/>
        <family val="2"/>
        <charset val="1"/>
      </rPr>
      <t xml:space="preserve">24 Rue Lamartine
38320 EYBENS
</t>
    </r>
    <r>
      <rPr>
        <b val="true"/>
        <sz val="14"/>
        <color rgb="FF000000"/>
        <rFont val="Arial"/>
        <family val="2"/>
        <charset val="1"/>
      </rPr>
      <t xml:space="preserve">
9h-12h / 14h-17h</t>
    </r>
  </si>
  <si>
    <t xml:space="preserve">NOUVEAU CLIENT
LIVRAISON 1x240 "Papiers confidentiels"</t>
  </si>
  <si>
    <t xml:space="preserve">co 6</t>
  </si>
  <si>
    <t xml:space="preserve">Romans / Royans</t>
  </si>
  <si>
    <t xml:space="preserve">Romans</t>
  </si>
  <si>
    <r>
      <rPr>
        <b val="true"/>
        <sz val="14"/>
        <color rgb="FF000000"/>
        <rFont val="Arial"/>
        <family val="2"/>
        <charset val="1"/>
      </rPr>
      <t xml:space="preserve">(63138) DELIFRANCE ROMANS
</t>
    </r>
    <r>
      <rPr>
        <sz val="14"/>
        <color rgb="FF000000"/>
        <rFont val="Arial"/>
        <family val="2"/>
        <charset val="1"/>
      </rPr>
      <t xml:space="preserve">9 Rue Niclas Appert
ZI Les Chasses 
26100 Romans sur Isère
</t>
    </r>
    <r>
      <rPr>
        <b val="true"/>
        <sz val="14"/>
        <color rgb="FF000000"/>
        <rFont val="Arial"/>
        <family val="2"/>
        <charset val="1"/>
      </rPr>
      <t xml:space="preserve">2x770 MD
</t>
    </r>
  </si>
  <si>
    <t xml:space="preserve">MD</t>
  </si>
  <si>
    <r>
      <rPr>
        <b val="true"/>
        <sz val="14"/>
        <color rgb="FF000000"/>
        <rFont val="Arial"/>
        <family val="2"/>
        <charset val="1"/>
      </rPr>
      <t xml:space="preserve">(77546) MASTERGRID
</t>
    </r>
    <r>
      <rPr>
        <sz val="14"/>
        <color rgb="FF000000"/>
        <rFont val="Arial"/>
        <family val="2"/>
        <charset val="1"/>
      </rPr>
      <t xml:space="preserve">14 Rue Henri Tarze
38000 GRENOBLE
Julien BONNE-PALETTE : 06 18 38 73 56
</t>
    </r>
    <r>
      <rPr>
        <b val="true"/>
        <sz val="14"/>
        <color rgb="FF000000"/>
        <rFont val="Arial"/>
        <family val="2"/>
        <charset val="1"/>
      </rPr>
      <t xml:space="preserve">2 Sacs </t>
    </r>
    <r>
      <rPr>
        <b val="true"/>
        <sz val="14"/>
        <color rgb="FFFF0000"/>
        <rFont val="Arial"/>
        <family val="2"/>
        <charset val="1"/>
      </rPr>
      <t xml:space="preserve">+ 1 Bioseau 20L</t>
    </r>
  </si>
  <si>
    <t xml:space="preserve">Bio-déchets
1 x BIOSEAUX 20L</t>
  </si>
  <si>
    <t xml:space="preserve">Papiers
Bouteilles plastiques
Marc de café (bioseau)</t>
  </si>
  <si>
    <r>
      <rPr>
        <b val="true"/>
        <sz val="14"/>
        <color rgb="FF000000"/>
        <rFont val="Arial"/>
        <family val="2"/>
        <charset val="1"/>
      </rPr>
      <t xml:space="preserve">(63138) DELIFRANCE ROMANS
</t>
    </r>
    <r>
      <rPr>
        <sz val="14"/>
        <color rgb="FF000000"/>
        <rFont val="Arial"/>
        <family val="2"/>
        <charset val="1"/>
      </rPr>
      <t xml:space="preserve">9 Rue Niclas Appert
ZI Les Chasses 
26100 Romans sur Isère
</t>
    </r>
    <r>
      <rPr>
        <b val="true"/>
        <sz val="14"/>
        <color rgb="FF000000"/>
        <rFont val="Arial"/>
        <family val="2"/>
        <charset val="1"/>
      </rPr>
      <t xml:space="preserve">1x360 Papiers</t>
    </r>
  </si>
  <si>
    <r>
      <rPr>
        <b val="true"/>
        <sz val="14"/>
        <color rgb="FF000000"/>
        <rFont val="Arial"/>
        <family val="2"/>
        <charset val="1"/>
      </rPr>
      <t xml:space="preserve">(69897) ENERDATA
</t>
    </r>
    <r>
      <rPr>
        <sz val="14"/>
        <color rgb="FF000000"/>
        <rFont val="Arial"/>
        <family val="2"/>
        <charset val="1"/>
      </rPr>
      <t xml:space="preserve">47 Avenue Alsace Lorraine
38000 GRENOBLE
</t>
    </r>
    <r>
      <rPr>
        <b val="true"/>
        <sz val="14"/>
        <color rgb="FF000000"/>
        <rFont val="Arial"/>
        <family val="2"/>
        <charset val="1"/>
      </rPr>
      <t xml:space="preserve">
Collecte en sacs</t>
    </r>
  </si>
  <si>
    <t xml:space="preserve">Papier
Verre (ALD)</t>
  </si>
  <si>
    <t xml:space="preserve">Le Royans</t>
  </si>
  <si>
    <r>
      <rPr>
        <b val="true"/>
        <sz val="14"/>
        <color rgb="FF000000"/>
        <rFont val="Arial"/>
        <family val="2"/>
        <charset val="1"/>
      </rPr>
      <t xml:space="preserve">(25284) MGEN SAINT THOMAS EN ROYANS 
</t>
    </r>
    <r>
      <rPr>
        <sz val="14"/>
        <color rgb="FF000000"/>
        <rFont val="Arial"/>
        <family val="2"/>
        <charset val="1"/>
      </rPr>
      <t xml:space="preserve">630 Route des Blaches
26190 Saint Thomas en Royans 
</t>
    </r>
  </si>
  <si>
    <t xml:space="preserve">Papiers
Cartons
Gobelets carton
Bouteilles Plastique
Canettes</t>
  </si>
  <si>
    <r>
      <rPr>
        <b val="true"/>
        <sz val="14"/>
        <color theme="1"/>
        <rFont val="Aptos Narrow"/>
        <family val="2"/>
        <charset val="1"/>
      </rPr>
      <t xml:space="preserve">(64864) CCIAG - SITE BIO </t>
    </r>
    <r>
      <rPr>
        <b val="true"/>
        <sz val="22"/>
        <color theme="4" tint="0.3999"/>
        <rFont val="Aptos Narrow"/>
        <family val="2"/>
        <charset val="1"/>
      </rPr>
      <t xml:space="preserve">B/I
</t>
    </r>
    <r>
      <rPr>
        <sz val="14"/>
        <color theme="1"/>
        <rFont val="Aptos Narrow"/>
        <family val="2"/>
        <charset val="1"/>
      </rPr>
      <t xml:space="preserve">98 Rue du Vercors
 38000 GRENOBLE</t>
    </r>
  </si>
  <si>
    <r>
      <rPr>
        <b val="true"/>
        <sz val="14"/>
        <color rgb="FF000000"/>
        <rFont val="Arial"/>
        <family val="2"/>
        <charset val="1"/>
      </rPr>
      <t xml:space="preserve">(25284) MGEN SAINT LAURENT EN ROYANS
</t>
    </r>
    <r>
      <rPr>
        <sz val="14"/>
        <color rgb="FF000000"/>
        <rFont val="Arial"/>
        <family val="2"/>
        <charset val="1"/>
      </rPr>
      <t xml:space="preserve">75 Route de la MGEN
Quartier Les Tracols
26190 Saint Laurent en Royans 
</t>
    </r>
    <r>
      <rPr>
        <b val="true"/>
        <sz val="14"/>
        <color rgb="FF000000"/>
        <rFont val="Arial"/>
        <family val="2"/>
        <charset val="1"/>
      </rPr>
      <t xml:space="preserve">
1x770 Cartons</t>
    </r>
  </si>
  <si>
    <r>
      <rPr>
        <b val="true"/>
        <sz val="14"/>
        <color rgb="FF000000"/>
        <rFont val="Arial"/>
        <family val="2"/>
        <charset val="1"/>
      </rPr>
      <t xml:space="preserve">(24583) CREDIT MUTUEL Europole Grenoble C/I
</t>
    </r>
    <r>
      <rPr>
        <sz val="14"/>
        <color rgb="FF000000"/>
        <rFont val="Arial"/>
        <family val="2"/>
        <charset val="1"/>
      </rPr>
      <t xml:space="preserve">1 Place Firmin Gautier
38000 Grenoble
08h30-12h00 13h30-17h00
</t>
    </r>
    <r>
      <rPr>
        <b val="true"/>
        <sz val="14"/>
        <color rgb="FF000000"/>
        <rFont val="Arial"/>
        <family val="2"/>
        <charset val="1"/>
      </rPr>
      <t xml:space="preserve">Sacs,cartons   </t>
    </r>
  </si>
  <si>
    <t xml:space="preserve">Papiers
Cartons
Gobelets carton
Bouteilles plastique
Cartouches encre
</t>
  </si>
  <si>
    <r>
      <rPr>
        <b val="true"/>
        <sz val="14"/>
        <color rgb="FF000000"/>
        <rFont val="Arial"/>
        <family val="2"/>
        <charset val="1"/>
      </rPr>
      <t xml:space="preserve">(68004) Banque Populaire AURA PEAGE DE ROUSSILLON
</t>
    </r>
    <r>
      <rPr>
        <sz val="14"/>
        <color rgb="FF000000"/>
        <rFont val="Arial"/>
        <family val="2"/>
        <charset val="1"/>
      </rPr>
      <t xml:space="preserve">110 Rue de la République
38550 Peage de Roussillon
Mardi - Vendredi : 8h30 - 12h30 / 14h00 - 17h45
Jeudi : 8h30 - 12h00 / 14h00 - 17h45
</t>
    </r>
  </si>
  <si>
    <r>
      <rPr>
        <b val="true"/>
        <sz val="14"/>
        <color rgb="FF000000"/>
        <rFont val="Arial"/>
        <family val="2"/>
        <charset val="1"/>
      </rPr>
      <t xml:space="preserve">(63107) MEUNIER EXPERT CONSEIL - GROUPE  CROWE AVVENS</t>
    </r>
    <r>
      <rPr>
        <sz val="14"/>
        <color rgb="FF000000"/>
        <rFont val="Arial"/>
        <family val="2"/>
        <charset val="1"/>
      </rPr>
      <t xml:space="preserve"> Immeuble LE PULSAR  4, Avenue Doyen Louis Weil, 38000 GRENOBLE</t>
    </r>
    <r>
      <rPr>
        <b val="true"/>
        <sz val="14"/>
        <color rgb="FF000000"/>
        <rFont val="Arial"/>
        <family val="2"/>
        <charset val="1"/>
      </rPr>
      <t xml:space="preserve">  </t>
    </r>
    <r>
      <rPr>
        <b val="true"/>
        <sz val="14"/>
        <color rgb="FFFF0000"/>
        <rFont val="Arial"/>
        <family val="2"/>
        <charset val="1"/>
      </rPr>
      <t xml:space="preserve">1er et 2ème étage</t>
    </r>
    <r>
      <rPr>
        <b val="true"/>
        <sz val="14"/>
        <color rgb="FF000000"/>
        <rFont val="Arial"/>
        <family val="2"/>
        <charset val="1"/>
      </rPr>
      <t xml:space="preserve">  </t>
    </r>
    <r>
      <rPr>
        <b val="true"/>
        <sz val="14"/>
        <color rgb="FFFF0000"/>
        <rFont val="Arial"/>
        <family val="2"/>
        <charset val="1"/>
      </rPr>
      <t xml:space="preserve">PROTOCOLE OBLIGATOIRE</t>
    </r>
    <r>
      <rPr>
        <b val="true"/>
        <sz val="14"/>
        <color rgb="FF000000"/>
        <rFont val="Arial"/>
        <family val="2"/>
        <charset val="1"/>
      </rPr>
      <t xml:space="preserve">  </t>
    </r>
    <r>
      <rPr>
        <b val="true"/>
        <u val="single"/>
        <sz val="14"/>
        <color rgb="FFFF0000"/>
        <rFont val="Arial"/>
        <family val="2"/>
        <charset val="1"/>
      </rPr>
      <t xml:space="preserve">SIGNATURE DU BON UNIQUEMENT A Mr DANEROL</t>
    </r>
  </si>
  <si>
    <t xml:space="preserve">En sacs sur la base de 5 sacs PAPIER</t>
  </si>
  <si>
    <r>
      <rPr>
        <b val="true"/>
        <sz val="14"/>
        <color rgb="FF000000"/>
        <rFont val="Arial"/>
        <family val="2"/>
        <charset val="1"/>
      </rPr>
      <t xml:space="preserve">(67985 Banque Populaire AURA SALAISE SUR SANNE
</t>
    </r>
    <r>
      <rPr>
        <sz val="14"/>
        <color rgb="FF000000"/>
        <rFont val="Arial"/>
        <family val="2"/>
        <charset val="1"/>
      </rPr>
      <t xml:space="preserve">7 Rue Jonchain Nord
38150 Salaise sur Sanne
Mardi - Vendredi : 8h30 - 12h30 / 14h00 - 17h45
Jeudi : 8h30 - 12h00 / 14h00 - 17h45</t>
    </r>
  </si>
  <si>
    <r>
      <rPr>
        <b val="true"/>
        <sz val="14"/>
        <color rgb="FF000000"/>
        <rFont val="Arial"/>
        <family val="2"/>
        <charset val="1"/>
      </rPr>
      <t xml:space="preserve">(63107) MEUNIER EXPERT CONSEIL - GROUPE  CROWE AVVENS
</t>
    </r>
    <r>
      <rPr>
        <sz val="14"/>
        <color rgb="FF000000"/>
        <rFont val="Arial"/>
        <family val="2"/>
        <charset val="1"/>
      </rPr>
      <t xml:space="preserve">Immeuble LE PULSAR 
4, Avenue Doyen Louis Weil,
38000 GRENOBLE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1er et 2ème étage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PROTOCOLE OBLIGATOIRE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u val="single"/>
        <sz val="14"/>
        <color rgb="FFFF0000"/>
        <rFont val="Arial"/>
        <family val="2"/>
        <charset val="1"/>
      </rPr>
      <t xml:space="preserve">SIGNATURE DU BON UNIQUEMENT A Mr DANEROL</t>
    </r>
  </si>
  <si>
    <t xml:space="preserve">3 SACS Capsules café</t>
  </si>
  <si>
    <r>
      <rPr>
        <b val="true"/>
        <sz val="14"/>
        <color rgb="FF000000"/>
        <rFont val="Arial"/>
        <family val="2"/>
        <charset val="1"/>
      </rPr>
      <t xml:space="preserve">(8424) CIC BEAUREPAIRE
</t>
    </r>
    <r>
      <rPr>
        <sz val="14"/>
        <color rgb="FF000000"/>
        <rFont val="Arial"/>
        <family val="2"/>
        <charset val="1"/>
      </rPr>
      <t xml:space="preserve">48 Rue de La République
38270 Beaurepaire  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u val="single"/>
        <sz val="16"/>
        <color rgb="FF000000"/>
        <rFont val="Arial"/>
        <family val="2"/>
        <charset val="1"/>
      </rPr>
      <t xml:space="preserve">Livraison de SAC à la demande</t>
    </r>
  </si>
  <si>
    <t xml:space="preserve">Papiers
Cartons
Bouteilles PET
Gobelets Cartons
Canettes</t>
  </si>
  <si>
    <r>
      <rPr>
        <b val="true"/>
        <sz val="14"/>
        <color rgb="FF000000"/>
        <rFont val="Arial"/>
        <family val="2"/>
        <charset val="1"/>
      </rPr>
      <t xml:space="preserve">(24584) ALLEGRO Microsystem (CROCUS) F/I
</t>
    </r>
    <r>
      <rPr>
        <sz val="14"/>
        <color rgb="FF000000"/>
        <rFont val="Arial"/>
        <family val="2"/>
        <charset val="1"/>
      </rPr>
      <t xml:space="preserve">3 Av. Doyen Louis Weil            
38000 Grenoble
</t>
    </r>
    <r>
      <rPr>
        <b val="true"/>
        <sz val="14"/>
        <color rgb="FFFF0000"/>
        <rFont val="Arial"/>
        <family val="2"/>
        <charset val="1"/>
      </rPr>
      <t xml:space="preserve">5ème, 6ème et 7ème étage
</t>
    </r>
    <r>
      <rPr>
        <sz val="14"/>
        <color rgb="FF000000"/>
        <rFont val="Arial"/>
        <family val="2"/>
        <charset val="1"/>
      </rPr>
      <t xml:space="preserve">
08:30–18:00
</t>
    </r>
    <r>
      <rPr>
        <b val="true"/>
        <sz val="14"/>
        <color rgb="FF000000"/>
        <rFont val="Arial"/>
        <family val="2"/>
        <charset val="1"/>
      </rPr>
      <t xml:space="preserve">Sacs Akilux, cartons
</t>
    </r>
  </si>
  <si>
    <t xml:space="preserve">Papier
Carton
Gobelets carton
Canettes
Bouteilles plastique
Capsules Café
Piles
DEE</t>
  </si>
  <si>
    <r>
      <rPr>
        <b val="true"/>
        <sz val="14"/>
        <color rgb="FF000000"/>
        <rFont val="Arial"/>
        <family val="2"/>
        <charset val="1"/>
      </rPr>
      <t xml:space="preserve">(8284) CERA BEAUREPAIRE
</t>
    </r>
    <r>
      <rPr>
        <sz val="14"/>
        <color rgb="FF000000"/>
        <rFont val="Arial"/>
        <family val="2"/>
        <charset val="1"/>
      </rPr>
      <t xml:space="preserve">5 Rue Lamartine
38270 Beaurepaire      
On peut appeler le 04 82 28 13 96 pour signaler notre présence.     </t>
    </r>
  </si>
  <si>
    <r>
      <rPr>
        <b val="true"/>
        <sz val="14"/>
        <color rgb="FF000000"/>
        <rFont val="Arial"/>
        <family val="2"/>
        <charset val="1"/>
      </rPr>
      <t xml:space="preserve">(34883) SULLY GRENOBLE G/I
</t>
    </r>
    <r>
      <rPr>
        <sz val="14"/>
        <color rgb="FF000000"/>
        <rFont val="Arial"/>
        <family val="2"/>
        <charset val="1"/>
      </rPr>
      <t xml:space="preserve">3 AVENUE DOYEN LOUIS WEIL
IMMEUBLE LE GRENAT
38000 Grenoble
</t>
    </r>
    <r>
      <rPr>
        <b val="true"/>
        <sz val="14"/>
        <color rgb="FF000000"/>
        <rFont val="Arial"/>
        <family val="2"/>
        <charset val="1"/>
      </rPr>
      <t xml:space="preserve">
</t>
    </r>
    <r>
      <rPr>
        <b val="true"/>
        <sz val="14"/>
        <color rgb="FFFF0000"/>
        <rFont val="Arial"/>
        <family val="2"/>
        <charset val="1"/>
      </rPr>
      <t xml:space="preserve">7ème étage</t>
    </r>
  </si>
  <si>
    <r>
      <rPr>
        <b val="true"/>
        <sz val="14"/>
        <color rgb="FF000000"/>
        <rFont val="Arial"/>
        <family val="2"/>
        <charset val="1"/>
      </rPr>
      <t xml:space="preserve">(24758) M2I Formation H/I
</t>
    </r>
    <r>
      <rPr>
        <sz val="14"/>
        <color rgb="FF000000"/>
        <rFont val="Arial"/>
        <family val="2"/>
        <charset val="1"/>
      </rPr>
      <t xml:space="preserve">22 Av. Doyen Louis Weil     
38000 Grenoble
</t>
    </r>
    <r>
      <rPr>
        <b val="true"/>
        <sz val="14"/>
        <color rgb="FFFF0000"/>
        <rFont val="Arial"/>
        <family val="2"/>
        <charset val="1"/>
      </rPr>
      <t xml:space="preserve">1er étage
</t>
    </r>
    <r>
      <rPr>
        <sz val="14"/>
        <color rgb="FF000000"/>
        <rFont val="Arial"/>
        <family val="2"/>
        <charset val="1"/>
      </rPr>
      <t xml:space="preserve">
09:00–17:30
</t>
    </r>
    <r>
      <rPr>
        <b val="true"/>
        <sz val="14"/>
        <color rgb="FF000000"/>
        <rFont val="Arial"/>
        <family val="2"/>
        <charset val="1"/>
      </rPr>
      <t xml:space="preserve">Sacs, cartons</t>
    </r>
  </si>
  <si>
    <t xml:space="preserve">Papiers
Cartons
Gobelets carton
Bouteilles plastique
</t>
  </si>
  <si>
    <r>
      <rPr>
        <b val="true"/>
        <sz val="14"/>
        <color theme="1"/>
        <rFont val="Aptos Narrow"/>
        <family val="2"/>
        <charset val="1"/>
      </rPr>
      <t xml:space="preserve">(64865) CCIAG - SITE POLY 
</t>
    </r>
    <r>
      <rPr>
        <sz val="14"/>
        <color theme="1"/>
        <rFont val="Aptos Narrow"/>
        <family val="2"/>
        <charset val="1"/>
      </rPr>
      <t xml:space="preserve">25 Avenue de Constantine
 38036 GRENOBLE
</t>
    </r>
    <r>
      <rPr>
        <b val="true"/>
        <sz val="14"/>
        <color rgb="FFFF0000"/>
        <rFont val="Aptos Narrow"/>
        <family val="2"/>
        <charset val="1"/>
      </rPr>
      <t xml:space="preserve">7ème étage
Code interphone : 1919</t>
    </r>
  </si>
  <si>
    <r>
      <rPr>
        <b val="true"/>
        <sz val="14"/>
        <color rgb="FF000000"/>
        <rFont val="Arial"/>
        <family val="2"/>
        <charset val="1"/>
      </rPr>
      <t xml:space="preserve">(24455) BOUYGUES BATIMENT SUD EST A/C REQUET(BUREAU)
</t>
    </r>
    <r>
      <rPr>
        <sz val="14"/>
        <color rgb="FF000000"/>
        <rFont val="Arial"/>
        <family val="2"/>
        <charset val="1"/>
      </rPr>
      <t xml:space="preserve">31  Aime Requet
</t>
    </r>
    <r>
      <rPr>
        <b val="true"/>
        <sz val="14"/>
        <color rgb="FFFF0000"/>
        <rFont val="Arial"/>
        <family val="2"/>
        <charset val="1"/>
      </rPr>
      <t xml:space="preserve">7ème étage
</t>
    </r>
    <r>
      <rPr>
        <sz val="14"/>
        <color rgb="FF000000"/>
        <rFont val="Arial"/>
        <family val="2"/>
        <charset val="1"/>
      </rPr>
      <t xml:space="preserve">38000 Grenoble
</t>
    </r>
    <r>
      <rPr>
        <b val="true"/>
        <sz val="14"/>
        <color rgb="FF000000"/>
        <rFont val="Arial"/>
        <family val="2"/>
        <charset val="1"/>
      </rPr>
      <t xml:space="preserve">Sacs</t>
    </r>
  </si>
  <si>
    <t xml:space="preserve">Papiers
</t>
  </si>
  <si>
    <r>
      <rPr>
        <b val="true"/>
        <sz val="14"/>
        <color rgb="FF000000"/>
        <rFont val="Arial"/>
        <family val="2"/>
        <charset val="1"/>
      </rPr>
      <t xml:space="preserve">(24931) VIVERIS  B/B
</t>
    </r>
    <r>
      <rPr>
        <sz val="14"/>
        <color rgb="FF000000"/>
        <rFont val="Arial"/>
        <family val="2"/>
        <charset val="1"/>
      </rPr>
      <t xml:space="preserve">31 Rue Aimé Requet
</t>
    </r>
    <r>
      <rPr>
        <b val="true"/>
        <sz val="14"/>
        <color rgb="FFFF0000"/>
        <rFont val="Arial"/>
        <family val="2"/>
        <charset val="1"/>
      </rPr>
      <t xml:space="preserve">4ème étage
</t>
    </r>
    <r>
      <rPr>
        <sz val="14"/>
        <color rgb="FF000000"/>
        <rFont val="Arial"/>
        <family val="2"/>
        <charset val="1"/>
      </rPr>
      <t xml:space="preserve">38000 GRENOBLE
</t>
    </r>
    <r>
      <rPr>
        <b val="true"/>
        <sz val="14"/>
        <color rgb="FF000000"/>
        <rFont val="Arial"/>
        <family val="2"/>
        <charset val="1"/>
      </rPr>
      <t xml:space="preserve">Sacs + cartons à plat</t>
    </r>
  </si>
  <si>
    <t xml:space="preserve">co 7</t>
  </si>
  <si>
    <t xml:space="preserve">Camion 7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</si>
</sst>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\ _€_-;\-* #,##0\ _€_-;_-* &quot;- &quot;_€_-;_-@_-"/>
    <numFmt numFmtId="166" formatCode="0"/>
    <numFmt numFmtId="167" formatCode="dd\-mmm"/>
    <numFmt numFmtId="168" formatCode="[$-40C]d\-mmm;@"/>
    <numFmt numFmtId="169" formatCode="dd/mm/yyyy"/>
    <numFmt numFmtId="170" formatCode="dd/mm/yy;@"/>
    <numFmt numFmtId="171" formatCode="0.00E+00"/>
  </numFmts>
  <fonts count="8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ptos Narrow"/>
      <family val="2"/>
      <charset val="1"/>
    </font>
    <font>
      <sz val="14"/>
      <color rgb="FF000000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8"/>
      <color theme="10"/>
      <name val="Arial"/>
      <family val="2"/>
      <charset val="1"/>
    </font>
    <font>
      <b val="true"/>
      <sz val="14"/>
      <color rgb="FFFFFF00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48"/>
      <color rgb="FF000000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u val="single"/>
      <sz val="14"/>
      <color rgb="FF00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20"/>
      <color theme="1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28"/>
      <color theme="0"/>
      <name val="Aptos Narrow"/>
      <family val="2"/>
      <charset val="1"/>
    </font>
    <font>
      <b val="true"/>
      <sz val="24"/>
      <color rgb="FF000000"/>
      <name val="Arial"/>
      <family val="2"/>
      <charset val="1"/>
    </font>
    <font>
      <b val="true"/>
      <sz val="24"/>
      <color theme="1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b val="true"/>
      <sz val="18"/>
      <color theme="1"/>
      <name val="Aptos Narrow"/>
      <family val="2"/>
      <charset val="1"/>
    </font>
    <font>
      <b val="true"/>
      <sz val="16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b val="true"/>
      <sz val="16"/>
      <color rgb="FFFF0000"/>
      <name val="Arial"/>
      <family val="2"/>
      <charset val="1"/>
    </font>
    <font>
      <sz val="14"/>
      <color rgb="FFFFFF00"/>
      <name val="Arial"/>
      <family val="2"/>
      <charset val="1"/>
    </font>
    <font>
      <b val="true"/>
      <sz val="20"/>
      <color rgb="FF1616FA"/>
      <name val="Aptos Narrow"/>
      <family val="2"/>
      <charset val="1"/>
    </font>
    <font>
      <b val="true"/>
      <sz val="20"/>
      <color rgb="FFEB07DB"/>
      <name val="Aptos Narrow"/>
      <family val="2"/>
      <charset val="1"/>
    </font>
    <font>
      <b val="true"/>
      <sz val="20"/>
      <color rgb="FF1616FA"/>
      <name val="Arial"/>
      <family val="2"/>
      <charset val="1"/>
    </font>
    <font>
      <b val="true"/>
      <sz val="28"/>
      <color theme="1"/>
      <name val="Aptos Narrow"/>
      <family val="2"/>
      <charset val="1"/>
    </font>
    <font>
      <sz val="14"/>
      <color rgb="FFFF0000"/>
      <name val="Arial"/>
      <family val="2"/>
      <charset val="1"/>
    </font>
    <font>
      <b val="true"/>
      <u val="single"/>
      <sz val="14"/>
      <color rgb="FFFF0000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8"/>
      <color rgb="FF0070C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20"/>
      <color theme="1"/>
      <name val="Aptos Narrow"/>
      <family val="2"/>
      <charset val="1"/>
    </font>
    <font>
      <sz val="14"/>
      <name val="Arial"/>
      <family val="2"/>
      <charset val="1"/>
    </font>
    <font>
      <b val="true"/>
      <sz val="20"/>
      <color rgb="FFFF0000"/>
      <name val="Arial"/>
      <family val="2"/>
      <charset val="1"/>
    </font>
    <font>
      <b val="true"/>
      <sz val="22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b val="true"/>
      <sz val="20"/>
      <color rgb="FFFF0000"/>
      <name val="Aptos Narrow"/>
      <family val="2"/>
      <charset val="1"/>
    </font>
    <font>
      <sz val="11"/>
      <color theme="1"/>
      <name val="Arial"/>
      <family val="2"/>
      <charset val="1"/>
    </font>
    <font>
      <sz val="20"/>
      <color rgb="FF1616FA"/>
      <name val="Arial"/>
      <family val="2"/>
      <charset val="1"/>
    </font>
    <font>
      <b val="true"/>
      <sz val="26"/>
      <name val="Aptos Narrow"/>
      <family val="2"/>
      <charset val="1"/>
    </font>
    <font>
      <sz val="20"/>
      <color rgb="FF000000"/>
      <name val="Arial"/>
      <family val="2"/>
      <charset val="1"/>
    </font>
    <font>
      <b val="true"/>
      <sz val="24"/>
      <color theme="9" tint="0.5999"/>
      <name val="Aptos Narrow"/>
      <family val="2"/>
      <charset val="1"/>
    </font>
    <font>
      <sz val="11"/>
      <name val="Arial Nova Light"/>
      <family val="2"/>
      <charset val="1"/>
    </font>
    <font>
      <sz val="14"/>
      <name val="Arial Nova Light"/>
      <family val="2"/>
      <charset val="1"/>
    </font>
    <font>
      <b val="true"/>
      <sz val="20"/>
      <name val="Arial Nova Light"/>
      <family val="2"/>
      <charset val="1"/>
    </font>
    <font>
      <b val="true"/>
      <sz val="14"/>
      <name val="Arial"/>
      <family val="2"/>
      <charset val="1"/>
    </font>
    <font>
      <b val="true"/>
      <sz val="22"/>
      <color rgb="FFFF0000"/>
      <name val="Arial"/>
      <family val="2"/>
      <charset val="1"/>
    </font>
    <font>
      <b val="true"/>
      <sz val="14"/>
      <color rgb="FF7030A0"/>
      <name val="Arial"/>
      <family val="2"/>
      <charset val="1"/>
    </font>
    <font>
      <b val="true"/>
      <sz val="22"/>
      <color rgb="FF00B050"/>
      <name val="Arial"/>
      <family val="2"/>
      <charset val="1"/>
    </font>
    <font>
      <b val="true"/>
      <sz val="28"/>
      <color theme="9" tint="-0.25"/>
      <name val="Aptos Narrow"/>
      <family val="2"/>
      <charset val="1"/>
    </font>
    <font>
      <b val="true"/>
      <sz val="16"/>
      <name val="Courier New"/>
      <family val="3"/>
      <charset val="1"/>
    </font>
    <font>
      <strike val="true"/>
      <sz val="14"/>
      <color rgb="FF000000"/>
      <name val="Arial"/>
      <family val="2"/>
      <charset val="1"/>
    </font>
    <font>
      <sz val="16"/>
      <color rgb="FFFF0000"/>
      <name val="Arial"/>
      <family val="2"/>
      <charset val="1"/>
    </font>
    <font>
      <b val="true"/>
      <u val="single"/>
      <sz val="16"/>
      <color rgb="FFFF0000"/>
      <name val="Arial"/>
      <family val="2"/>
      <charset val="1"/>
    </font>
    <font>
      <b val="true"/>
      <sz val="22"/>
      <color rgb="FF1616FA"/>
      <name val="Arial"/>
      <family val="2"/>
      <charset val="1"/>
    </font>
    <font>
      <b val="true"/>
      <sz val="14"/>
      <name val="Aptos Narrow"/>
      <family val="2"/>
      <charset val="1"/>
    </font>
    <font>
      <b val="true"/>
      <u val="single"/>
      <sz val="14"/>
      <color theme="9" tint="-0.25"/>
      <name val="Arial"/>
      <family val="2"/>
      <charset val="1"/>
    </font>
    <font>
      <sz val="18"/>
      <color rgb="FF000000"/>
      <name val="Arial"/>
      <family val="2"/>
      <charset val="1"/>
    </font>
    <font>
      <b val="true"/>
      <sz val="18"/>
      <color rgb="FF1616FA"/>
      <name val="Arial"/>
      <family val="2"/>
      <charset val="1"/>
    </font>
    <font>
      <b val="true"/>
      <sz val="22"/>
      <color rgb="FF00B0F0"/>
      <name val="Arial"/>
      <family val="2"/>
      <charset val="1"/>
    </font>
    <font>
      <b val="true"/>
      <sz val="24"/>
      <color rgb="FF1616FA"/>
      <name val="Arial"/>
      <family val="2"/>
      <charset val="1"/>
    </font>
    <font>
      <u val="single"/>
      <sz val="14"/>
      <color rgb="FF000000"/>
      <name val="Arial"/>
      <family val="2"/>
      <charset val="1"/>
    </font>
    <font>
      <b val="true"/>
      <sz val="17"/>
      <color rgb="FF000000"/>
      <name val="Arial"/>
      <family val="2"/>
      <charset val="1"/>
    </font>
    <font>
      <b val="true"/>
      <sz val="20"/>
      <color theme="0"/>
      <name val="Arial"/>
      <family val="2"/>
      <charset val="1"/>
    </font>
    <font>
      <b val="true"/>
      <u val="single"/>
      <sz val="14"/>
      <color rgb="FF00B050"/>
      <name val="Arial"/>
      <family val="2"/>
      <charset val="1"/>
    </font>
    <font>
      <b val="true"/>
      <sz val="18"/>
      <color rgb="FFFFFF00"/>
      <name val="Arial"/>
      <family val="2"/>
      <charset val="1"/>
    </font>
    <font>
      <b val="true"/>
      <sz val="18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Arial Nova Light"/>
      <family val="2"/>
      <charset val="1"/>
    </font>
    <font>
      <b val="true"/>
      <sz val="20"/>
      <color rgb="FF000000"/>
      <name val="Arial Nova Light"/>
      <family val="2"/>
      <charset val="1"/>
    </font>
    <font>
      <b val="true"/>
      <sz val="24"/>
      <color rgb="FFFF0000"/>
      <name val="Arial"/>
      <family val="2"/>
      <charset val="1"/>
    </font>
    <font>
      <b val="true"/>
      <sz val="14"/>
      <name val="Arial Nova Light"/>
      <family val="2"/>
      <charset val="1"/>
    </font>
    <font>
      <b val="true"/>
      <sz val="26"/>
      <color rgb="FFFF0000"/>
      <name val="Arial"/>
      <family val="2"/>
      <charset val="1"/>
    </font>
    <font>
      <sz val="12"/>
      <color rgb="FFFF0000"/>
      <name val="Arial"/>
      <family val="2"/>
      <charset val="1"/>
    </font>
    <font>
      <b val="true"/>
      <u val="single"/>
      <sz val="11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sz val="22"/>
      <color rgb="FFFFC000"/>
      <name val="Arial"/>
      <family val="2"/>
      <charset val="1"/>
    </font>
    <font>
      <b val="true"/>
      <sz val="22"/>
      <color theme="4" tint="0.3999"/>
      <name val="Aptos Narrow"/>
      <family val="2"/>
      <charset val="1"/>
    </font>
    <font>
      <b val="true"/>
      <u val="single"/>
      <sz val="16"/>
      <color rgb="FF000000"/>
      <name val="Arial"/>
      <family val="2"/>
      <charset val="1"/>
    </font>
    <font>
      <b val="true"/>
      <sz val="14"/>
      <color rgb="FFFF0000"/>
      <name val="Aptos Narrow"/>
      <family val="2"/>
      <charset val="1"/>
    </font>
  </fonts>
  <fills count="41">
    <fill>
      <patternFill patternType="none"/>
    </fill>
    <fill>
      <patternFill patternType="gray125"/>
    </fill>
    <fill>
      <patternFill patternType="solid">
        <fgColor rgb="FFF0F0F0"/>
        <bgColor rgb="FFF2F2F2"/>
      </patternFill>
    </fill>
    <fill>
      <patternFill patternType="solid">
        <fgColor rgb="FFFFC000"/>
        <bgColor rgb="FFFFD546"/>
      </patternFill>
    </fill>
    <fill>
      <patternFill patternType="solid">
        <fgColor theme="0" tint="-0.05"/>
        <bgColor rgb="FFF0F0F0"/>
      </patternFill>
    </fill>
    <fill>
      <patternFill patternType="solid">
        <fgColor rgb="FFFF00FF"/>
        <bgColor rgb="FFEB07DB"/>
      </patternFill>
    </fill>
    <fill>
      <patternFill patternType="solid">
        <fgColor rgb="FFFF0000"/>
        <bgColor rgb="FFFF0066"/>
      </patternFill>
    </fill>
    <fill>
      <patternFill patternType="solid">
        <fgColor theme="8" tint="0.3999"/>
        <bgColor rgb="FFFFE383"/>
      </patternFill>
    </fill>
    <fill>
      <patternFill patternType="solid">
        <fgColor rgb="FF00B050"/>
        <bgColor rgb="FF00B0F0"/>
      </patternFill>
    </fill>
    <fill>
      <patternFill patternType="solid">
        <fgColor rgb="FFFFFF00"/>
        <bgColor rgb="FFFFD546"/>
      </patternFill>
    </fill>
    <fill>
      <patternFill patternType="solid">
        <fgColor theme="9" tint="0.5999"/>
        <bgColor rgb="FFFB9E37"/>
      </patternFill>
    </fill>
    <fill>
      <patternFill patternType="solid">
        <fgColor theme="0" tint="-0.25"/>
        <bgColor rgb="FFA6A6A6"/>
      </patternFill>
    </fill>
    <fill>
      <patternFill patternType="solid">
        <fgColor theme="0" tint="-0.35"/>
        <bgColor rgb="FFBFBFBF"/>
      </patternFill>
    </fill>
    <fill>
      <patternFill patternType="solid">
        <fgColor theme="2" tint="-0.5"/>
        <bgColor rgb="FFA6A6A6"/>
      </patternFill>
    </fill>
    <fill>
      <patternFill patternType="solid">
        <fgColor theme="5" tint="0.5999"/>
        <bgColor rgb="FFBBE6FE"/>
      </patternFill>
    </fill>
    <fill>
      <patternFill patternType="solid">
        <fgColor rgb="FFCAD31B"/>
        <bgColor rgb="FFFFD546"/>
      </patternFill>
    </fill>
    <fill>
      <patternFill patternType="solid">
        <fgColor rgb="FF66FF99"/>
        <bgColor rgb="FF89FD78"/>
      </patternFill>
    </fill>
    <fill>
      <patternFill patternType="solid">
        <fgColor theme="6"/>
        <bgColor rgb="FF971916"/>
      </patternFill>
    </fill>
    <fill>
      <patternFill patternType="solid">
        <fgColor theme="0"/>
        <bgColor rgb="FFF2F2F2"/>
      </patternFill>
    </fill>
    <fill>
      <patternFill patternType="solid">
        <fgColor theme="5" tint="0.7999"/>
        <bgColor rgb="FFC6EFCE"/>
      </patternFill>
    </fill>
    <fill>
      <patternFill patternType="solid">
        <fgColor theme="7" tint="0.7999"/>
        <bgColor rgb="FFFFCCFF"/>
      </patternFill>
    </fill>
    <fill>
      <patternFill patternType="solid">
        <fgColor rgb="FFFFCCFF"/>
        <bgColor rgb="FFF5BBFE"/>
      </patternFill>
    </fill>
    <fill>
      <patternFill patternType="solid">
        <fgColor theme="6" tint="0.3999"/>
        <bgColor rgb="FFE96F6D"/>
      </patternFill>
    </fill>
    <fill>
      <patternFill patternType="solid">
        <fgColor rgb="FFFF0066"/>
        <bgColor rgb="FFFF0000"/>
      </patternFill>
    </fill>
    <fill>
      <patternFill patternType="solid">
        <fgColor rgb="FF00B0F0"/>
        <bgColor rgb="FF34B3FB"/>
      </patternFill>
    </fill>
    <fill>
      <patternFill patternType="solid">
        <fgColor rgb="FFFB9E37"/>
        <bgColor rgb="FFFB7E34"/>
      </patternFill>
    </fill>
    <fill>
      <patternFill patternType="solid">
        <fgColor theme="9" tint="0.3999"/>
        <bgColor rgb="FFFB7E34"/>
      </patternFill>
    </fill>
    <fill>
      <patternFill patternType="solid">
        <fgColor rgb="FF00FF00"/>
        <bgColor rgb="FF4EFB34"/>
      </patternFill>
    </fill>
    <fill>
      <patternFill patternType="solid">
        <fgColor theme="8" tint="0.5999"/>
        <bgColor rgb="FFFFD546"/>
      </patternFill>
    </fill>
    <fill>
      <patternFill patternType="solid">
        <fgColor rgb="FFFF6600"/>
        <bgColor rgb="FFFB7E34"/>
      </patternFill>
    </fill>
    <fill>
      <patternFill patternType="solid">
        <fgColor theme="5" tint="-0.5"/>
        <bgColor rgb="FF333333"/>
      </patternFill>
    </fill>
    <fill>
      <patternFill patternType="solid">
        <fgColor theme="5"/>
        <bgColor rgb="FF0070C0"/>
      </patternFill>
    </fill>
    <fill>
      <patternFill patternType="solid">
        <fgColor theme="7" tint="-0.25"/>
        <bgColor rgb="FF800080"/>
      </patternFill>
    </fill>
    <fill>
      <patternFill patternType="solid">
        <fgColor rgb="FFFD4DE4"/>
        <bgColor rgb="FFFF57AB"/>
      </patternFill>
    </fill>
    <fill>
      <patternFill patternType="solid">
        <fgColor rgb="FFFF57AB"/>
        <bgColor rgb="FFFD4DE4"/>
      </patternFill>
    </fill>
    <fill>
      <patternFill patternType="solid">
        <fgColor theme="3" tint="0.0999"/>
        <bgColor rgb="FF000000"/>
      </patternFill>
    </fill>
    <fill>
      <patternFill patternType="solid">
        <fgColor theme="5" tint="0.3999"/>
        <bgColor rgb="FF00B0F0"/>
      </patternFill>
    </fill>
    <fill>
      <patternFill patternType="solid">
        <fgColor theme="4" tint="0.5999"/>
        <bgColor rgb="FF66FF99"/>
      </patternFill>
    </fill>
    <fill>
      <patternFill patternType="solid">
        <fgColor theme="8" tint="-0.5"/>
        <bgColor rgb="FFA33E03"/>
      </patternFill>
    </fill>
    <fill>
      <patternFill patternType="solid">
        <fgColor rgb="FFA8FCAC"/>
        <bgColor rgb="FFC6EFCE"/>
      </patternFill>
    </fill>
    <fill>
      <patternFill patternType="solid">
        <fgColor rgb="FF7474FC"/>
        <bgColor rgb="FF808080"/>
      </patternFill>
    </fill>
  </fills>
  <borders count="46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 style="thin">
        <color theme="9" tint="0.3999"/>
      </right>
      <top/>
      <bottom style="thin">
        <color theme="9" tint="0.3999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3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21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21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3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5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21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5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21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11" fillId="0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3" borderId="6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4" borderId="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4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4" borderId="8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4" borderId="8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5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6" borderId="10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4" borderId="8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5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6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8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4" borderId="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4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2" fillId="4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4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4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4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2" fillId="4" borderId="1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4" borderId="13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4" borderId="13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4" borderId="13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0" borderId="1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5" fillId="0" borderId="1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7" borderId="15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6" fillId="8" borderId="2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6" fillId="3" borderId="2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0" borderId="2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2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0" borderId="3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0" borderId="0" xfId="21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8" fillId="7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6" fillId="8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6" fillId="3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2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4" xfId="21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7" borderId="16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2" borderId="0" xfId="21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21" applyFont="true" applyBorder="false" applyAlignment="true" applyProtection="true">
      <alignment horizontal="center" vertical="center" textRotation="90" wrapText="true" indent="0" shrinkToFit="false"/>
      <protection locked="false" hidden="false"/>
    </xf>
    <xf numFmtId="164" fontId="15" fillId="0" borderId="1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0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0" borderId="0" xfId="21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5" fontId="17" fillId="9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1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11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1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2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12" borderId="18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20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11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0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10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2" borderId="20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12" borderId="2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2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21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10" borderId="4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1" fillId="13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1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7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7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4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4" borderId="23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5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17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6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17" borderId="2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26" fillId="0" borderId="2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5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8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7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18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9" borderId="26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9" borderId="23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1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2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4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8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28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1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8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17" borderId="29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4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1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0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1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7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8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17" borderId="30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3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1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1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1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22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12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9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2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2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8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2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1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2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1" fillId="0" borderId="1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3" borderId="4" xfId="22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5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6" borderId="11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24" fillId="14" borderId="23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4" fillId="0" borderId="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8" borderId="1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4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4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18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1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8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38" fillId="18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8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4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4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4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8" fillId="18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2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5" borderId="4" xfId="22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4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2" fillId="0" borderId="19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19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4" fillId="12" borderId="19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18" borderId="19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18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18" borderId="4" xfId="22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34" fillId="18" borderId="19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0" fillId="18" borderId="19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1" fillId="18" borderId="19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4" borderId="19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8" borderId="19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19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2" borderId="32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4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3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19" xfId="22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19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6" borderId="4" xfId="22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0" borderId="19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0" borderId="19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9" xfId="22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6" fillId="0" borderId="4" xfId="22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2" fillId="9" borderId="4" xfId="22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3" fillId="0" borderId="17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4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6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21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0" xfId="21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11" fillId="26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6" borderId="4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7" fillId="11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27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2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14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11" fillId="9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4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24" fillId="14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4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8" fillId="27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7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4" borderId="1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33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4" borderId="3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8" borderId="2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8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50" fillId="28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4" fillId="0" borderId="3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9" borderId="4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20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12" borderId="1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2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4" borderId="2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1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7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1" fillId="12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2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6" borderId="15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53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7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1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4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7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8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7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6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2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1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2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2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2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8" borderId="1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1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7" fillId="0" borderId="1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29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24" fillId="0" borderId="1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1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27" borderId="4" xfId="22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4" fillId="18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4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12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1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30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34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11" fillId="0" borderId="17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1" fontId="7" fillId="12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7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7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1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2" borderId="1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1" fillId="9" borderId="1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7" fillId="0" borderId="1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7" fillId="0" borderId="1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4" borderId="1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3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1" borderId="3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2" fillId="31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18" borderId="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14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31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9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9" fillId="7" borderId="4" xfId="22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5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4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4" borderId="2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6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1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21" fillId="32" borderId="4" xfId="22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8" fillId="33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43" fillId="0" borderId="1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4" borderId="1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18" borderId="18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18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38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1" borderId="3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3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9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3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4" borderId="3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1" borderId="3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8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34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8" borderId="1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8" borderId="40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9" borderId="3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20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2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1" borderId="40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40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7" fillId="0" borderId="40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40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4" borderId="40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4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1" borderId="4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1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7" fillId="0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25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24" borderId="19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1" fillId="0" borderId="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0" borderId="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12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5" fillId="0" borderId="2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11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1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7" fillId="0" borderId="1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8" borderId="31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12" borderId="1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8" borderId="1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3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11" borderId="2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9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2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11" borderId="19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4" fillId="18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2" borderId="4" xfId="2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26" fillId="3" borderId="4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2" borderId="0" xfId="21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8" fillId="14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2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18" borderId="3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24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14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31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8" fillId="12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8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2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8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23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5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6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4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18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4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12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4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4" borderId="23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4" borderId="2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18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1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8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4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2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2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4" borderId="26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18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8" borderId="11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4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0" borderId="4" xfId="22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18" borderId="3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7" fillId="0" borderId="4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4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4" borderId="4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4" borderId="27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4" borderId="23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1" borderId="1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8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8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5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4" borderId="3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1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4" borderId="33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28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34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4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4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0" xfId="21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11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0" borderId="2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10" borderId="4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1" fillId="10" borderId="17" xfId="21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20" fillId="1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1" fillId="14" borderId="19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14" borderId="23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2" fillId="35" borderId="4" xfId="21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11" fillId="0" borderId="2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1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4" fillId="26" borderId="5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8" fillId="0" borderId="2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7" borderId="17" xfId="0" applyFont="true" applyBorder="true" applyAlignment="true" applyProtection="true">
      <alignment horizontal="right" vertical="center" textRotation="90" wrapText="false" indent="0" shrinkToFit="false"/>
      <protection locked="false" hidden="false"/>
    </xf>
    <xf numFmtId="164" fontId="66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1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5" fillId="3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1" fillId="11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4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6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6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6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6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6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11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8" borderId="17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1" fillId="14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8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1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6" fillId="11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9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29" fillId="5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6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7" fillId="11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7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8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6" fillId="12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9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8" borderId="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6" fillId="1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9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3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1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0" fillId="0" borderId="17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81" fillId="18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4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6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18" borderId="3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8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1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3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21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55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7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4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6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1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6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6" fillId="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6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1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0" borderId="4" xfId="22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17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0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1" fillId="14" borderId="19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1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18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7" fillId="18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83" fillId="9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4" fillId="39" borderId="4" xfId="2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24" fillId="12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18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5" fillId="40" borderId="4" xfId="2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4" fillId="12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6" fillId="0" borderId="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4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7" fillId="9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0" borderId="4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83" fillId="9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ien hypertexte 2" xfId="20"/>
    <cellStyle name="Normal 2" xfId="21"/>
    <cellStyle name="Normal 2 2" xfId="22"/>
    <cellStyle name="Normal 3" xfId="23"/>
  </cellStyles>
  <dxfs count="5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66FF99"/>
      <rgbColor rgb="FF9C0006"/>
      <rgbColor rgb="FF006100"/>
      <rgbColor rgb="FF000080"/>
      <rgbColor rgb="FFFB7E34"/>
      <rgbColor rgb="FFFF0066"/>
      <rgbColor rgb="FF0369A3"/>
      <rgbColor rgb="FFBFBFBF"/>
      <rgbColor rgb="FF808080"/>
      <rgbColor rgb="FF7474FC"/>
      <rgbColor rgb="FF7030A0"/>
      <rgbColor rgb="FFF2F2F2"/>
      <rgbColor rgb="FFBBE6FE"/>
      <rgbColor rgb="FF6A027A"/>
      <rgbColor rgb="FFE96F6D"/>
      <rgbColor rgb="FF0070C0"/>
      <rgbColor rgb="FFF5BBFE"/>
      <rgbColor rgb="FF000080"/>
      <rgbColor rgb="FFEB07DB"/>
      <rgbColor rgb="FFFFD546"/>
      <rgbColor rgb="FF4EFB34"/>
      <rgbColor rgb="FF800080"/>
      <rgbColor rgb="FF971916"/>
      <rgbColor rgb="FF89FD78"/>
      <rgbColor rgb="FF1616FA"/>
      <rgbColor rgb="FF00B0F0"/>
      <rgbColor rgb="FFF0F0F0"/>
      <rgbColor rgb="FFC6EFCE"/>
      <rgbColor rgb="FFFFE383"/>
      <rgbColor rgb="FF78CCFD"/>
      <rgbColor rgb="FFF19F9E"/>
      <rgbColor rgb="FFFFCCFF"/>
      <rgbColor rgb="FFFFC7CE"/>
      <rgbColor rgb="FFA8FCAC"/>
      <rgbColor rgb="FF34B3FB"/>
      <rgbColor rgb="FFCAD31B"/>
      <rgbColor rgb="FFFFC000"/>
      <rgbColor rgb="FFFB9E37"/>
      <rgbColor rgb="FFFF6600"/>
      <rgbColor rgb="FFFD4DE4"/>
      <rgbColor rgb="FFA6A6A6"/>
      <rgbColor rgb="FF013451"/>
      <rgbColor rgb="FF00B050"/>
      <rgbColor rgb="FF191919"/>
      <rgbColor rgb="FF654E00"/>
      <rgbColor rgb="FFA33E03"/>
      <rgbColor rgb="FFFF57AB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Button" lockText="1"/>
</file>

<file path=xl/ctrlProps/ctrlProps3.xml><?xml version="1.0" encoding="utf-8"?>
<formControlPr xmlns="http://schemas.microsoft.com/office/spreadsheetml/2009/9/main" objectType="Button" lockText="1"/>
</file>

<file path=xl/ctrlProps/ctrlProps4.xml><?xml version="1.0" encoding="utf-8"?>
<formControlPr xmlns="http://schemas.microsoft.com/office/spreadsheetml/2009/9/main" objectType="Button" lockText="1"/>
</file>

<file path=xl/ctrlProps/ctrlProps5.xml><?xml version="1.0" encoding="utf-8"?>
<formControlPr xmlns="http://schemas.microsoft.com/office/spreadsheetml/2009/9/main" objectType="Button" lockText="1"/>
</file>

<file path=xl/ctrlProps/ctrlProps6.xml><?xml version="1.0" encoding="utf-8"?>
<formControlPr xmlns="http://schemas.microsoft.com/office/spreadsheetml/2009/9/main" objectType="Button" lockText="1"/>
</file>

<file path=xl/ctrlProps/ctrlProps7.xml><?xml version="1.0" encoding="utf-8"?>
<formControlPr xmlns="http://schemas.microsoft.com/office/spreadsheetml/2009/9/main" objectType="Button" lockText="1"/>
</file>

<file path=xl/ctrlProps/ctrlProps8.xml><?xml version="1.0" encoding="utf-8"?>
<formControlPr xmlns="http://schemas.microsoft.com/office/spreadsheetml/2009/9/main" objectType="Button" lockText="1"/>
</file>

<file path=xl/ctrlProps/ctrlProps9.xml><?xml version="1.0" encoding="utf-8"?>
<formControlPr xmlns="http://schemas.microsoft.com/office/spreadsheetml/2009/9/main" objectType="Button" lockText="1"/>
</file>

<file path=xl/ctrlProps/ctrlProps10.xml><?xml version="1.0" encoding="utf-8"?>
<formControlPr xmlns="http://schemas.microsoft.com/office/spreadsheetml/2009/9/main" objectType="Button" lockText="1"/>
</file>

<file path=xl/ctrlProps/ctrlProps11.xml><?xml version="1.0" encoding="utf-8"?>
<formControlPr xmlns="http://schemas.microsoft.com/office/spreadsheetml/2009/9/main" objectType="Button" lockText="1"/>
</file>

<file path=xl/ctrlProps/ctrlProps12.xml><?xml version="1.0" encoding="utf-8"?>
<formControlPr xmlns="http://schemas.microsoft.com/office/spreadsheetml/2009/9/main" objectType="Button" lockText="1"/>
</file>

<file path=xl/ctrlProps/ctrlProps13.xml><?xml version="1.0" encoding="utf-8"?>
<formControlPr xmlns="http://schemas.microsoft.com/office/spreadsheetml/2009/9/main" objectType="Button" lockText="1"/>
</file>

<file path=xl/ctrlProps/ctrlProps14.xml><?xml version="1.0" encoding="utf-8"?>
<formControlPr xmlns="http://schemas.microsoft.com/office/spreadsheetml/2009/9/main" objectType="Button" lockText="1"/>
</file>

<file path=xl/ctrlProps/ctrlProps15.xml><?xml version="1.0" encoding="utf-8"?>
<formControlPr xmlns="http://schemas.microsoft.com/office/spreadsheetml/2009/9/main" objectType="Button" lockText="1"/>
</file>

<file path=xl/ctrlProps/ctrlProps16.xml><?xml version="1.0" encoding="utf-8"?>
<formControlPr xmlns="http://schemas.microsoft.com/office/spreadsheetml/2009/9/main" objectType="Button" lockText="1"/>
</file>

<file path=xl/ctrlProps/ctrlProps17.xml><?xml version="1.0" encoding="utf-8"?>
<formControlPr xmlns="http://schemas.microsoft.com/office/spreadsheetml/2009/9/main" objectType="Button" lockText="1"/>
</file>

<file path=xl/ctrlProps/ctrlProps18.xml><?xml version="1.0" encoding="utf-8"?>
<formControlPr xmlns="http://schemas.microsoft.com/office/spreadsheetml/2009/9/main" objectType="Button" lockText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220320</xdr:rowOff>
    </xdr:from>
    <xdr:to>
      <xdr:col>0</xdr:col>
      <xdr:colOff>783360</xdr:colOff>
      <xdr:row>3</xdr:row>
      <xdr:rowOff>240840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220320"/>
          <a:ext cx="783360" cy="877680"/>
        </a:xfrm>
        <a:prstGeom prst="rect">
          <a:avLst/>
        </a:prstGeom>
        <a:noFill/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30600</xdr:colOff>
          <xdr:row>4</xdr:row>
          <xdr:rowOff>536760</xdr:rowOff>
        </xdr:from>
        <xdr:to>
          <xdr:col>2</xdr:col>
          <xdr:colOff>-2598480</xdr:colOff>
          <xdr:row>5</xdr:row>
          <xdr:rowOff>-313560</xdr:rowOff>
        </xdr:to>
        <xdr:sp>
          <xdr:nvSpPr>
            <xdr:cNvPr id="1001" name="Button 1" descr="INSERTIO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INSERTION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83880</xdr:colOff>
          <xdr:row>4</xdr:row>
          <xdr:rowOff>529200</xdr:rowOff>
        </xdr:from>
        <xdr:to>
          <xdr:col>24</xdr:col>
          <xdr:colOff>53280</xdr:colOff>
          <xdr:row>5</xdr:row>
          <xdr:rowOff>-313560</xdr:rowOff>
        </xdr:to>
        <xdr:sp>
          <xdr:nvSpPr>
            <xdr:cNvPr id="1002" name="Button 2" descr="INSERTIO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INSERTION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1425240</xdr:colOff>
          <xdr:row>4</xdr:row>
          <xdr:rowOff>636120</xdr:rowOff>
        </xdr:from>
        <xdr:to>
          <xdr:col>25</xdr:col>
          <xdr:colOff>-1325880</xdr:colOff>
          <xdr:row>5</xdr:row>
          <xdr:rowOff>-275040</xdr:rowOff>
        </xdr:to>
        <xdr:sp>
          <xdr:nvSpPr>
            <xdr:cNvPr id="1003" name="Button 3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106560</xdr:colOff>
          <xdr:row>4</xdr:row>
          <xdr:rowOff>643680</xdr:rowOff>
        </xdr:from>
        <xdr:to>
          <xdr:col>27</xdr:col>
          <xdr:colOff>304560</xdr:colOff>
          <xdr:row>5</xdr:row>
          <xdr:rowOff>-214200</xdr:rowOff>
        </xdr:to>
        <xdr:sp>
          <xdr:nvSpPr>
            <xdr:cNvPr id="1004" name="Button 4" descr="INSERTIO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INSERTION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502920</xdr:colOff>
          <xdr:row>4</xdr:row>
          <xdr:rowOff>727560</xdr:rowOff>
        </xdr:from>
        <xdr:to>
          <xdr:col>31</xdr:col>
          <xdr:colOff>-670680</xdr:colOff>
          <xdr:row>5</xdr:row>
          <xdr:rowOff>-183600</xdr:rowOff>
        </xdr:to>
        <xdr:sp>
          <xdr:nvSpPr>
            <xdr:cNvPr id="1005" name="Button 5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411480</xdr:colOff>
          <xdr:row>4</xdr:row>
          <xdr:rowOff>636120</xdr:rowOff>
        </xdr:from>
        <xdr:to>
          <xdr:col>51</xdr:col>
          <xdr:colOff>289440</xdr:colOff>
          <xdr:row>5</xdr:row>
          <xdr:rowOff>-275040</xdr:rowOff>
        </xdr:to>
        <xdr:sp>
          <xdr:nvSpPr>
            <xdr:cNvPr id="1006" name="Button 6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2004120</xdr:colOff>
          <xdr:row>4</xdr:row>
          <xdr:rowOff>643680</xdr:rowOff>
        </xdr:from>
        <xdr:to>
          <xdr:col>48</xdr:col>
          <xdr:colOff>-899280</xdr:colOff>
          <xdr:row>5</xdr:row>
          <xdr:rowOff>-214200</xdr:rowOff>
        </xdr:to>
        <xdr:sp>
          <xdr:nvSpPr>
            <xdr:cNvPr id="1007" name="Button 7" descr="INSERTIO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INSERTION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350640</xdr:colOff>
          <xdr:row>4</xdr:row>
          <xdr:rowOff>735120</xdr:rowOff>
        </xdr:from>
        <xdr:to>
          <xdr:col>75</xdr:col>
          <xdr:colOff>106920</xdr:colOff>
          <xdr:row>5</xdr:row>
          <xdr:rowOff>-176040</xdr:rowOff>
        </xdr:to>
        <xdr:sp>
          <xdr:nvSpPr>
            <xdr:cNvPr id="1008" name="Button 8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70</xdr:col>
          <xdr:colOff>2400480</xdr:colOff>
          <xdr:row>4</xdr:row>
          <xdr:rowOff>704520</xdr:rowOff>
        </xdr:from>
        <xdr:to>
          <xdr:col>71</xdr:col>
          <xdr:colOff>-495360</xdr:colOff>
          <xdr:row>5</xdr:row>
          <xdr:rowOff>-160920</xdr:rowOff>
        </xdr:to>
        <xdr:sp>
          <xdr:nvSpPr>
            <xdr:cNvPr id="1009" name="Button 9" descr="INSERTIO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INSERTION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3314880</xdr:colOff>
          <xdr:row>119</xdr:row>
          <xdr:rowOff>222840</xdr:rowOff>
        </xdr:from>
        <xdr:to>
          <xdr:col>3</xdr:col>
          <xdr:colOff>281880</xdr:colOff>
          <xdr:row>121</xdr:row>
          <xdr:rowOff>76680</xdr:rowOff>
        </xdr:to>
        <xdr:sp>
          <xdr:nvSpPr>
            <xdr:cNvPr id="1010" name="Button 10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2400480</xdr:colOff>
          <xdr:row>4</xdr:row>
          <xdr:rowOff>636120</xdr:rowOff>
        </xdr:from>
        <xdr:to>
          <xdr:col>2</xdr:col>
          <xdr:colOff>-343080</xdr:colOff>
          <xdr:row>5</xdr:row>
          <xdr:rowOff>-366480</xdr:rowOff>
        </xdr:to>
        <xdr:sp>
          <xdr:nvSpPr>
            <xdr:cNvPr id="1011" name="Button 11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3314880</xdr:colOff>
          <xdr:row>149</xdr:row>
          <xdr:rowOff>239400</xdr:rowOff>
        </xdr:from>
        <xdr:to>
          <xdr:col>3</xdr:col>
          <xdr:colOff>281880</xdr:colOff>
          <xdr:row>151</xdr:row>
          <xdr:rowOff>117360</xdr:rowOff>
        </xdr:to>
        <xdr:sp>
          <xdr:nvSpPr>
            <xdr:cNvPr id="1012" name="Button 12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3314880</xdr:colOff>
          <xdr:row>173</xdr:row>
          <xdr:rowOff>966960</xdr:rowOff>
        </xdr:from>
        <xdr:to>
          <xdr:col>3</xdr:col>
          <xdr:colOff>281880</xdr:colOff>
          <xdr:row>174</xdr:row>
          <xdr:rowOff>-259920</xdr:rowOff>
        </xdr:to>
        <xdr:sp>
          <xdr:nvSpPr>
            <xdr:cNvPr id="1013" name="Button 13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75</xdr:col>
          <xdr:colOff>198000</xdr:colOff>
          <xdr:row>173</xdr:row>
          <xdr:rowOff>966960</xdr:rowOff>
        </xdr:from>
        <xdr:to>
          <xdr:col>76</xdr:col>
          <xdr:colOff>685800</xdr:colOff>
          <xdr:row>174</xdr:row>
          <xdr:rowOff>-259920</xdr:rowOff>
        </xdr:to>
        <xdr:sp>
          <xdr:nvSpPr>
            <xdr:cNvPr id="1014" name="Button 14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2339640</xdr:colOff>
          <xdr:row>173</xdr:row>
          <xdr:rowOff>966960</xdr:rowOff>
        </xdr:from>
        <xdr:to>
          <xdr:col>25</xdr:col>
          <xdr:colOff>-434160</xdr:colOff>
          <xdr:row>174</xdr:row>
          <xdr:rowOff>-259920</xdr:rowOff>
        </xdr:to>
        <xdr:sp>
          <xdr:nvSpPr>
            <xdr:cNvPr id="1015" name="Button 15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1440360</xdr:colOff>
          <xdr:row>173</xdr:row>
          <xdr:rowOff>966960</xdr:rowOff>
        </xdr:from>
        <xdr:to>
          <xdr:col>32</xdr:col>
          <xdr:colOff>23040</xdr:colOff>
          <xdr:row>174</xdr:row>
          <xdr:rowOff>-259920</xdr:rowOff>
        </xdr:to>
        <xdr:sp>
          <xdr:nvSpPr>
            <xdr:cNvPr id="1016" name="Button 16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380880</xdr:colOff>
          <xdr:row>173</xdr:row>
          <xdr:rowOff>966960</xdr:rowOff>
        </xdr:from>
        <xdr:to>
          <xdr:col>52</xdr:col>
          <xdr:colOff>578880</xdr:colOff>
          <xdr:row>174</xdr:row>
          <xdr:rowOff>-259920</xdr:rowOff>
        </xdr:to>
        <xdr:sp>
          <xdr:nvSpPr>
            <xdr:cNvPr id="1017" name="Button 17" descr="SUPPRIME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SUPPRIMER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<Relationship Id="rId14" Type="http://schemas.openxmlformats.org/officeDocument/2006/relationships/ctrlProp" Target="../ctrlProps/ctrlProps13.xml"/><Relationship Id="rId15" Type="http://schemas.openxmlformats.org/officeDocument/2006/relationships/ctrlProp" Target="../ctrlProps/ctrlProps14.xml"/><Relationship Id="rId16" Type="http://schemas.openxmlformats.org/officeDocument/2006/relationships/ctrlProp" Target="../ctrlProps/ctrlProps15.xml"/><Relationship Id="rId17" Type="http://schemas.openxmlformats.org/officeDocument/2006/relationships/ctrlProp" Target="../ctrlProps/ctrlProps16.xml"/><Relationship Id="rId18" Type="http://schemas.openxmlformats.org/officeDocument/2006/relationships/ctrlProp" Target="../ctrlProps/ctrlProps17.xml"/><Relationship Id="rId19" Type="http://schemas.openxmlformats.org/officeDocument/2006/relationships/ctrlProp" Target="../ctrlProps/ctrlProps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O208"/>
  <sheetViews>
    <sheetView showFormulas="false" showGridLines="true" showRowColHeaders="true" showZeros="true" rightToLeft="false" tabSelected="true" showOutlineSymbols="true" defaultGridColor="true" view="normal" topLeftCell="AL1" colorId="64" zoomScale="55" zoomScaleNormal="55" zoomScalePageLayoutView="100" workbookViewId="0">
      <selection pane="topLeft" activeCell="AV8" activeCellId="0" sqref="AV8"/>
    </sheetView>
  </sheetViews>
  <sheetFormatPr defaultColWidth="11.53515625" defaultRowHeight="22.5" customHeight="true" zeroHeight="false" outlineLevelRow="0" outlineLevelCol="0"/>
  <cols>
    <col collapsed="false" customWidth="true" hidden="false" outlineLevel="0" max="1" min="1" style="1" width="21.21"/>
    <col collapsed="false" customWidth="true" hidden="false" outlineLevel="0" max="2" min="2" style="2" width="63.33"/>
    <col collapsed="false" customWidth="true" hidden="false" outlineLevel="0" max="3" min="3" style="3" width="4.57"/>
    <col collapsed="false" customWidth="true" hidden="false" outlineLevel="0" max="4" min="4" style="4" width="8.37"/>
    <col collapsed="false" customWidth="true" hidden="false" outlineLevel="0" max="5" min="5" style="4" width="5.99"/>
    <col collapsed="false" customWidth="true" hidden="false" outlineLevel="0" max="6" min="6" style="5" width="13.33"/>
    <col collapsed="false" customWidth="true" hidden="false" outlineLevel="0" max="7" min="7" style="2" width="7.7"/>
    <col collapsed="false" customWidth="true" hidden="false" outlineLevel="0" max="8" min="8" style="2" width="17.3"/>
    <col collapsed="false" customWidth="true" hidden="false" outlineLevel="0" max="9" min="9" style="5" width="3.8"/>
    <col collapsed="false" customWidth="true" hidden="false" outlineLevel="0" max="10" min="10" style="6" width="5.21"/>
    <col collapsed="false" customWidth="true" hidden="false" outlineLevel="0" max="11" min="11" style="2" width="23.79"/>
    <col collapsed="false" customWidth="true" hidden="false" outlineLevel="0" max="15" min="12" style="7" width="4.85"/>
    <col collapsed="false" customWidth="true" hidden="false" outlineLevel="0" max="17" min="16" style="7" width="3.8"/>
    <col collapsed="false" customWidth="true" hidden="false" outlineLevel="0" max="18" min="18" style="7" width="4.85"/>
    <col collapsed="false" customWidth="true" hidden="false" outlineLevel="0" max="20" min="19" style="7" width="3.8"/>
    <col collapsed="false" customWidth="true" hidden="false" outlineLevel="0" max="21" min="21" style="2" width="5.04"/>
    <col collapsed="false" customWidth="true" hidden="false" outlineLevel="0" max="22" min="22" style="8" width="12.46"/>
    <col collapsed="false" customWidth="true" hidden="false" outlineLevel="0" max="23" min="23" style="9" width="1.52"/>
    <col collapsed="false" customWidth="true" hidden="false" outlineLevel="0" max="24" min="24" style="10" width="17.3"/>
    <col collapsed="false" customWidth="true" hidden="false" outlineLevel="0" max="25" min="25" style="2" width="63.33"/>
    <col collapsed="false" customWidth="true" hidden="false" outlineLevel="0" max="26" min="26" style="3" width="5.8"/>
    <col collapsed="false" customWidth="true" hidden="false" outlineLevel="0" max="28" min="27" style="4" width="8.37"/>
    <col collapsed="false" customWidth="true" hidden="false" outlineLevel="0" max="29" min="29" style="5" width="10.56"/>
    <col collapsed="false" customWidth="true" hidden="false" outlineLevel="0" max="30" min="30" style="2" width="6.28"/>
    <col collapsed="false" customWidth="true" hidden="false" outlineLevel="0" max="31" min="31" style="2" width="35.38"/>
    <col collapsed="false" customWidth="true" hidden="false" outlineLevel="0" max="32" min="32" style="5" width="3.8"/>
    <col collapsed="false" customWidth="true" hidden="false" outlineLevel="0" max="33" min="33" style="6" width="7.89"/>
    <col collapsed="false" customWidth="true" hidden="false" outlineLevel="0" max="34" min="34" style="2" width="32.9"/>
    <col collapsed="false" customWidth="true" hidden="false" outlineLevel="0" max="35" min="35" style="7" width="4.85"/>
    <col collapsed="false" customWidth="true" hidden="false" outlineLevel="0" max="36" min="36" style="7" width="8.08"/>
    <col collapsed="false" customWidth="true" hidden="false" outlineLevel="0" max="37" min="37" style="7" width="4.85"/>
    <col collapsed="false" customWidth="true" hidden="false" outlineLevel="0" max="38" min="38" style="7" width="5.8"/>
    <col collapsed="false" customWidth="true" hidden="false" outlineLevel="0" max="39" min="39" style="7" width="3.8"/>
    <col collapsed="false" customWidth="true" hidden="false" outlineLevel="0" max="40" min="40" style="7" width="4.37"/>
    <col collapsed="false" customWidth="true" hidden="false" outlineLevel="0" max="41" min="41" style="7" width="4.85"/>
    <col collapsed="false" customWidth="true" hidden="false" outlineLevel="0" max="42" min="42" style="7" width="3.8"/>
    <col collapsed="false" customWidth="true" hidden="false" outlineLevel="0" max="43" min="43" style="7" width="7.61"/>
    <col collapsed="false" customWidth="true" hidden="false" outlineLevel="0" max="44" min="44" style="2" width="5.04"/>
    <col collapsed="false" customWidth="true" hidden="false" outlineLevel="0" max="45" min="45" style="2" width="13.8"/>
    <col collapsed="false" customWidth="true" hidden="false" outlineLevel="0" max="46" min="46" style="9" width="1.52"/>
    <col collapsed="false" customWidth="true" hidden="false" outlineLevel="0" max="47" min="47" style="10" width="21.88"/>
    <col collapsed="false" customWidth="true" hidden="false" outlineLevel="0" max="48" min="48" style="11" width="63.33"/>
    <col collapsed="false" customWidth="true" hidden="false" outlineLevel="0" max="49" min="49" style="3" width="5.8"/>
    <col collapsed="false" customWidth="true" hidden="false" outlineLevel="0" max="51" min="50" style="4" width="8.37"/>
    <col collapsed="false" customWidth="true" hidden="false" outlineLevel="0" max="52" min="52" style="7" width="10.56"/>
    <col collapsed="false" customWidth="true" hidden="false" outlineLevel="0" max="53" min="53" style="7" width="11.03"/>
    <col collapsed="false" customWidth="true" hidden="false" outlineLevel="0" max="54" min="54" style="7" width="15.97"/>
    <col collapsed="false" customWidth="true" hidden="false" outlineLevel="0" max="55" min="55" style="12" width="3.8"/>
    <col collapsed="false" customWidth="true" hidden="false" outlineLevel="0" max="56" min="56" style="6" width="5.8"/>
    <col collapsed="false" customWidth="true" hidden="false" outlineLevel="0" max="57" min="57" style="2" width="22.63"/>
    <col collapsed="false" customWidth="true" hidden="false" outlineLevel="0" max="58" min="58" style="7" width="4.85"/>
    <col collapsed="false" customWidth="true" hidden="false" outlineLevel="0" max="59" min="59" style="7" width="6.28"/>
    <col collapsed="false" customWidth="true" hidden="false" outlineLevel="0" max="60" min="60" style="7" width="4.85"/>
    <col collapsed="false" customWidth="true" hidden="false" outlineLevel="0" max="61" min="61" style="7" width="6.28"/>
    <col collapsed="false" customWidth="true" hidden="false" outlineLevel="0" max="63" min="62" style="7" width="3.8"/>
    <col collapsed="false" customWidth="true" hidden="false" outlineLevel="0" max="64" min="64" style="7" width="4.85"/>
    <col collapsed="false" customWidth="true" hidden="false" outlineLevel="0" max="66" min="65" style="7" width="3.8"/>
    <col collapsed="false" customWidth="true" hidden="false" outlineLevel="0" max="67" min="67" style="2" width="5.04"/>
    <col collapsed="false" customWidth="true" hidden="false" outlineLevel="0" max="68" min="68" style="2" width="13.41"/>
    <col collapsed="false" customWidth="true" hidden="false" outlineLevel="0" max="69" min="69" style="9" width="1.52"/>
    <col collapsed="false" customWidth="true" hidden="false" outlineLevel="0" max="70" min="70" style="10" width="19.4"/>
    <col collapsed="false" customWidth="true" hidden="false" outlineLevel="0" max="71" min="71" style="2" width="63.33"/>
    <col collapsed="false" customWidth="true" hidden="false" outlineLevel="0" max="72" min="72" style="3" width="5.8"/>
    <col collapsed="false" customWidth="true" hidden="false" outlineLevel="0" max="74" min="73" style="4" width="8.37"/>
    <col collapsed="false" customWidth="true" hidden="false" outlineLevel="0" max="75" min="75" style="5" width="10.56"/>
    <col collapsed="false" customWidth="true" hidden="false" outlineLevel="0" max="76" min="76" style="2" width="5.32"/>
    <col collapsed="false" customWidth="true" hidden="false" outlineLevel="0" max="77" min="77" style="2" width="21.11"/>
    <col collapsed="false" customWidth="true" hidden="false" outlineLevel="0" max="78" min="78" style="5" width="3.8"/>
    <col collapsed="false" customWidth="true" hidden="false" outlineLevel="0" max="79" min="79" style="6" width="7.23"/>
    <col collapsed="false" customWidth="true" hidden="false" outlineLevel="0" max="80" min="80" style="2" width="28.53"/>
    <col collapsed="false" customWidth="true" hidden="false" outlineLevel="0" max="83" min="81" style="7" width="4.85"/>
    <col collapsed="false" customWidth="true" hidden="false" outlineLevel="0" max="84" min="84" style="7" width="7.61"/>
    <col collapsed="false" customWidth="true" hidden="false" outlineLevel="0" max="86" min="85" style="7" width="3.8"/>
    <col collapsed="false" customWidth="true" hidden="false" outlineLevel="0" max="87" min="87" style="7" width="4.85"/>
    <col collapsed="false" customWidth="true" hidden="false" outlineLevel="0" max="88" min="88" style="7" width="3.8"/>
    <col collapsed="false" customWidth="true" hidden="false" outlineLevel="0" max="89" min="89" style="7" width="7.61"/>
    <col collapsed="false" customWidth="true" hidden="false" outlineLevel="0" max="90" min="90" style="2" width="6.28"/>
    <col collapsed="false" customWidth="true" hidden="false" outlineLevel="0" max="91" min="91" style="2" width="12.93"/>
    <col collapsed="false" customWidth="true" hidden="false" outlineLevel="0" max="92" min="92" style="9" width="1.52"/>
    <col collapsed="false" customWidth="true" hidden="false" outlineLevel="0" max="93" min="93" style="10" width="15.39"/>
    <col collapsed="false" customWidth="true" hidden="false" outlineLevel="0" max="94" min="94" style="2" width="63.33"/>
    <col collapsed="false" customWidth="true" hidden="false" outlineLevel="0" max="95" min="95" style="3" width="5.8"/>
    <col collapsed="false" customWidth="true" hidden="false" outlineLevel="0" max="97" min="96" style="4" width="8.37"/>
    <col collapsed="false" customWidth="true" hidden="false" outlineLevel="0" max="98" min="98" style="5" width="10.56"/>
    <col collapsed="false" customWidth="true" hidden="false" outlineLevel="0" max="99" min="99" style="2" width="6.28"/>
    <col collapsed="false" customWidth="true" hidden="false" outlineLevel="0" max="100" min="100" style="2" width="23.48"/>
    <col collapsed="false" customWidth="true" hidden="false" outlineLevel="0" max="101" min="101" style="5" width="3.8"/>
    <col collapsed="false" customWidth="true" hidden="false" outlineLevel="0" max="102" min="102" style="6" width="3.61"/>
    <col collapsed="false" customWidth="true" hidden="false" outlineLevel="0" max="103" min="103" style="2" width="18.26"/>
    <col collapsed="false" customWidth="true" hidden="false" outlineLevel="0" max="105" min="104" style="2" width="4.85"/>
    <col collapsed="false" customWidth="true" hidden="false" outlineLevel="0" max="106" min="106" style="7" width="4.85"/>
    <col collapsed="false" customWidth="true" hidden="false" outlineLevel="0" max="107" min="107" style="2" width="4.85"/>
    <col collapsed="false" customWidth="true" hidden="false" outlineLevel="0" max="108" min="108" style="2" width="3.8"/>
    <col collapsed="false" customWidth="true" hidden="false" outlineLevel="0" max="109" min="109" style="2" width="5.42"/>
    <col collapsed="false" customWidth="true" hidden="false" outlineLevel="0" max="110" min="110" style="2" width="4.85"/>
    <col collapsed="false" customWidth="true" hidden="false" outlineLevel="0" max="112" min="111" style="2" width="3.8"/>
    <col collapsed="false" customWidth="true" hidden="false" outlineLevel="0" max="113" min="113" style="2" width="6.28"/>
    <col collapsed="false" customWidth="true" hidden="false" outlineLevel="0" max="114" min="114" style="2" width="13.88"/>
    <col collapsed="false" customWidth="true" hidden="false" outlineLevel="0" max="115" min="115" style="13" width="10.46"/>
    <col collapsed="false" customWidth="true" hidden="false" outlineLevel="0" max="116" min="116" style="14" width="10.46"/>
    <col collapsed="false" customWidth="true" hidden="false" outlineLevel="0" max="117" min="117" style="14" width="43.08"/>
    <col collapsed="false" customWidth="true" hidden="false" outlineLevel="0" max="118" min="118" style="14" width="61.15"/>
    <col collapsed="false" customWidth="true" hidden="false" outlineLevel="0" max="119" min="119" style="14" width="10.46"/>
  </cols>
  <sheetData>
    <row r="1" customFormat="false" ht="22.5" hidden="false" customHeight="false" outlineLevel="0" collapsed="false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5"/>
      <c r="DL1" s="16"/>
    </row>
    <row r="2" customFormat="false" ht="22.5" hidden="false" customHeight="true" outlineLevel="0" collapsed="false">
      <c r="A2" s="17"/>
      <c r="B2" s="18" t="s">
        <v>1</v>
      </c>
      <c r="C2" s="19" t="str">
        <f aca="false">A6</f>
        <v>André</v>
      </c>
      <c r="D2" s="19"/>
      <c r="E2" s="20" t="str">
        <f aca="false">A90</f>
        <v>Franck</v>
      </c>
      <c r="F2" s="20"/>
      <c r="G2" s="21"/>
      <c r="H2" s="22"/>
      <c r="I2" s="22"/>
      <c r="J2" s="23" t="n">
        <f aca="false">SUMIFS(L16:L93,K16:K93,"Bio-déchets")</f>
        <v>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4" t="n">
        <f aca="false">SUM(U:U)</f>
        <v>60</v>
      </c>
      <c r="W2" s="25"/>
      <c r="X2" s="25"/>
      <c r="Y2" s="26" t="s">
        <v>2</v>
      </c>
      <c r="Z2" s="22"/>
      <c r="AA2" s="27"/>
      <c r="AB2" s="27"/>
      <c r="AC2" s="22"/>
      <c r="AD2" s="22"/>
      <c r="AE2" s="22"/>
      <c r="AF2" s="22"/>
      <c r="AG2" s="28" t="n">
        <f aca="false">SUMIFS(AI8:AI92,AH8:AH92,"Bio-déchets")</f>
        <v>0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9" t="n">
        <f aca="false">SUM(AR:AR)</f>
        <v>0</v>
      </c>
      <c r="AT2" s="25"/>
      <c r="AU2" s="25"/>
      <c r="AV2" s="30" t="s">
        <v>3</v>
      </c>
      <c r="AW2" s="22"/>
      <c r="AX2" s="27"/>
      <c r="AY2" s="27"/>
      <c r="AZ2" s="22"/>
      <c r="BA2" s="22"/>
      <c r="BB2" s="22"/>
      <c r="BC2" s="22"/>
      <c r="BD2" s="28" t="n">
        <f aca="false">SUMIFS(BF8:BF92,BE8:BE92,"Bio-déchets")</f>
        <v>0</v>
      </c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9" t="n">
        <f aca="false">SUM(BO:BO)</f>
        <v>75</v>
      </c>
      <c r="BQ2" s="25"/>
      <c r="BR2" s="25"/>
      <c r="BS2" s="30" t="s">
        <v>3</v>
      </c>
      <c r="BT2" s="22"/>
      <c r="BU2" s="27"/>
      <c r="BV2" s="27"/>
      <c r="BW2" s="22"/>
      <c r="BX2" s="31"/>
      <c r="BY2" s="22"/>
      <c r="BZ2" s="22"/>
      <c r="CA2" s="28" t="n">
        <f aca="false">SUMIFS(CC13:CC50,CB13:CB50,"Bio-déchets")</f>
        <v>0</v>
      </c>
      <c r="CB2" s="31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9" t="n">
        <f aca="false">SUM(CL:CL)</f>
        <v>91</v>
      </c>
      <c r="CN2" s="25"/>
      <c r="CO2" s="32"/>
      <c r="CP2" s="30" t="s">
        <v>3</v>
      </c>
      <c r="CQ2" s="22"/>
      <c r="CR2" s="27"/>
      <c r="CS2" s="27"/>
      <c r="CT2" s="22"/>
      <c r="CU2" s="22"/>
      <c r="CV2" s="22"/>
      <c r="CW2" s="22"/>
      <c r="CX2" s="28" t="n">
        <f aca="false">SUMIFS(CZ8:CZ91,CY8:CY91,"Bio-déchets")</f>
        <v>4</v>
      </c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9" t="n">
        <f aca="false">SUM(DI:DI)</f>
        <v>47</v>
      </c>
      <c r="DK2" s="15"/>
      <c r="DL2" s="16"/>
    </row>
    <row r="3" customFormat="false" ht="22.5" hidden="false" customHeight="false" outlineLevel="0" collapsed="false">
      <c r="A3" s="17"/>
      <c r="B3" s="18"/>
      <c r="C3" s="33" t="str">
        <f aca="false">A39</f>
        <v>Raphaël</v>
      </c>
      <c r="D3" s="33"/>
      <c r="E3" s="34"/>
      <c r="F3" s="35" t="str">
        <f aca="false">co_5_lundi_B1</f>
        <v>Artem</v>
      </c>
      <c r="G3" s="36"/>
      <c r="H3" s="37" t="s">
        <v>4</v>
      </c>
      <c r="I3" s="37"/>
      <c r="J3" s="23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24" t="n">
        <f aca="false">SUM(U:U)</f>
        <v>60</v>
      </c>
      <c r="W3" s="25"/>
      <c r="X3" s="25"/>
      <c r="Y3" s="26"/>
      <c r="Z3" s="37"/>
      <c r="AA3" s="38"/>
      <c r="AB3" s="38"/>
      <c r="AC3" s="37"/>
      <c r="AD3" s="37"/>
      <c r="AE3" s="37" t="s">
        <v>4</v>
      </c>
      <c r="AF3" s="37"/>
      <c r="AG3" s="28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29" t="n">
        <f aca="false">SUM(AR:AR)</f>
        <v>0</v>
      </c>
      <c r="AT3" s="25"/>
      <c r="AU3" s="25"/>
      <c r="AV3" s="30"/>
      <c r="AW3" s="37"/>
      <c r="AX3" s="38"/>
      <c r="AY3" s="38"/>
      <c r="AZ3" s="37"/>
      <c r="BA3" s="37"/>
      <c r="BB3" s="37" t="s">
        <v>4</v>
      </c>
      <c r="BC3" s="37"/>
      <c r="BD3" s="28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29" t="n">
        <f aca="false">SUM(BO:BO)</f>
        <v>75</v>
      </c>
      <c r="BQ3" s="25"/>
      <c r="BR3" s="25"/>
      <c r="BS3" s="30"/>
      <c r="BT3" s="37"/>
      <c r="BU3" s="38"/>
      <c r="BV3" s="38"/>
      <c r="BW3" s="37"/>
      <c r="BX3" s="39"/>
      <c r="BY3" s="37" t="s">
        <v>4</v>
      </c>
      <c r="BZ3" s="37"/>
      <c r="CA3" s="28"/>
      <c r="CB3" s="39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29" t="n">
        <f aca="false">SUM(CL:CL)</f>
        <v>91</v>
      </c>
      <c r="CN3" s="25"/>
      <c r="CO3" s="32"/>
      <c r="CP3" s="30"/>
      <c r="CQ3" s="37"/>
      <c r="CR3" s="38"/>
      <c r="CS3" s="38"/>
      <c r="CT3" s="37"/>
      <c r="CU3" s="37"/>
      <c r="CV3" s="37" t="s">
        <v>4</v>
      </c>
      <c r="CW3" s="37"/>
      <c r="CX3" s="28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29" t="n">
        <f aca="false">SUM(DI:DI)</f>
        <v>47</v>
      </c>
      <c r="DK3" s="15"/>
      <c r="DL3" s="16"/>
    </row>
    <row r="4" customFormat="false" ht="24.75" hidden="false" customHeight="true" outlineLevel="0" collapsed="false">
      <c r="A4" s="17"/>
      <c r="B4" s="18"/>
      <c r="C4" s="40" t="str">
        <f aca="false">co_3_lundi_B1</f>
        <v>Stéphane</v>
      </c>
      <c r="D4" s="40"/>
      <c r="E4" s="41" t="str">
        <f aca="false">A155</f>
        <v>co 6</v>
      </c>
      <c r="F4" s="41"/>
      <c r="G4" s="36"/>
      <c r="H4" s="37"/>
      <c r="I4" s="42"/>
      <c r="J4" s="23"/>
      <c r="K4" s="42"/>
      <c r="L4" s="42"/>
      <c r="M4" s="42"/>
      <c r="N4" s="42"/>
      <c r="O4" s="42"/>
      <c r="P4" s="42"/>
      <c r="Q4" s="42"/>
      <c r="R4" s="42"/>
      <c r="S4" s="42"/>
      <c r="T4" s="42"/>
      <c r="U4" s="37"/>
      <c r="V4" s="24" t="n">
        <f aca="false">SUM(U:U)</f>
        <v>60</v>
      </c>
      <c r="W4" s="25"/>
      <c r="X4" s="25"/>
      <c r="Y4" s="26"/>
      <c r="Z4" s="37"/>
      <c r="AA4" s="38"/>
      <c r="AB4" s="38"/>
      <c r="AC4" s="37"/>
      <c r="AD4" s="37"/>
      <c r="AE4" s="37"/>
      <c r="AF4" s="37"/>
      <c r="AG4" s="28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29" t="n">
        <f aca="false">SUM(AR:AR)</f>
        <v>0</v>
      </c>
      <c r="AT4" s="25"/>
      <c r="AU4" s="25"/>
      <c r="AV4" s="30"/>
      <c r="AW4" s="42"/>
      <c r="AX4" s="43"/>
      <c r="AY4" s="43"/>
      <c r="AZ4" s="37"/>
      <c r="BA4" s="37"/>
      <c r="BB4" s="37"/>
      <c r="BC4" s="37"/>
      <c r="BD4" s="28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29" t="n">
        <f aca="false">SUM(BO:BO)</f>
        <v>75</v>
      </c>
      <c r="BQ4" s="25"/>
      <c r="BR4" s="25"/>
      <c r="BS4" s="30"/>
      <c r="BT4" s="37"/>
      <c r="BU4" s="38"/>
      <c r="BV4" s="38"/>
      <c r="BW4" s="37"/>
      <c r="BX4" s="39"/>
      <c r="BY4" s="37"/>
      <c r="BZ4" s="37"/>
      <c r="CA4" s="28"/>
      <c r="CB4" s="39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29" t="n">
        <f aca="false">SUM(CL:CL)</f>
        <v>91</v>
      </c>
      <c r="CN4" s="25"/>
      <c r="CO4" s="32"/>
      <c r="CP4" s="30"/>
      <c r="CQ4" s="37"/>
      <c r="CR4" s="38"/>
      <c r="CS4" s="38"/>
      <c r="CT4" s="37"/>
      <c r="CU4" s="37"/>
      <c r="CV4" s="37"/>
      <c r="CW4" s="37"/>
      <c r="CX4" s="28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29" t="n">
        <f aca="false">SUM(DI:DI)</f>
        <v>47</v>
      </c>
      <c r="DK4" s="15"/>
      <c r="DL4" s="16"/>
    </row>
    <row r="5" customFormat="false" ht="125.3" hidden="false" customHeight="false" outlineLevel="0" collapsed="false">
      <c r="A5" s="44" t="s">
        <v>5</v>
      </c>
      <c r="B5" s="45" t="s">
        <v>6</v>
      </c>
      <c r="C5" s="46" t="s">
        <v>7</v>
      </c>
      <c r="D5" s="47" t="s">
        <v>8</v>
      </c>
      <c r="E5" s="48" t="s">
        <v>9</v>
      </c>
      <c r="F5" s="49" t="s">
        <v>10</v>
      </c>
      <c r="G5" s="7" t="s">
        <v>11</v>
      </c>
      <c r="H5" s="50" t="s">
        <v>12</v>
      </c>
      <c r="I5" s="51" t="s">
        <v>13</v>
      </c>
      <c r="J5" s="52" t="s">
        <v>14</v>
      </c>
      <c r="K5" s="53" t="s">
        <v>15</v>
      </c>
      <c r="L5" s="54" t="n">
        <v>120</v>
      </c>
      <c r="M5" s="54" t="n">
        <v>240</v>
      </c>
      <c r="N5" s="54" t="s">
        <v>16</v>
      </c>
      <c r="O5" s="54" t="n">
        <v>360</v>
      </c>
      <c r="P5" s="54" t="s">
        <v>17</v>
      </c>
      <c r="Q5" s="54" t="s">
        <v>18</v>
      </c>
      <c r="R5" s="54" t="n">
        <v>770</v>
      </c>
      <c r="S5" s="54" t="s">
        <v>19</v>
      </c>
      <c r="T5" s="54" t="s">
        <v>20</v>
      </c>
      <c r="U5" s="7" t="s">
        <v>21</v>
      </c>
      <c r="V5" s="55" t="s">
        <v>22</v>
      </c>
      <c r="W5" s="56"/>
      <c r="X5" s="57" t="s">
        <v>5</v>
      </c>
      <c r="Y5" s="45" t="s">
        <v>23</v>
      </c>
      <c r="Z5" s="58" t="s">
        <v>7</v>
      </c>
      <c r="AA5" s="59" t="s">
        <v>8</v>
      </c>
      <c r="AB5" s="60" t="s">
        <v>9</v>
      </c>
      <c r="AC5" s="50" t="s">
        <v>10</v>
      </c>
      <c r="AD5" s="7" t="s">
        <v>11</v>
      </c>
      <c r="AE5" s="50" t="s">
        <v>12</v>
      </c>
      <c r="AF5" s="54" t="s">
        <v>13</v>
      </c>
      <c r="AG5" s="54" t="s">
        <v>14</v>
      </c>
      <c r="AH5" s="50" t="s">
        <v>15</v>
      </c>
      <c r="AI5" s="54" t="n">
        <v>120</v>
      </c>
      <c r="AJ5" s="54" t="n">
        <v>240</v>
      </c>
      <c r="AK5" s="54" t="s">
        <v>16</v>
      </c>
      <c r="AL5" s="54" t="n">
        <v>360</v>
      </c>
      <c r="AM5" s="54" t="s">
        <v>17</v>
      </c>
      <c r="AN5" s="54" t="s">
        <v>18</v>
      </c>
      <c r="AO5" s="54" t="n">
        <v>770</v>
      </c>
      <c r="AP5" s="54" t="s">
        <v>19</v>
      </c>
      <c r="AQ5" s="54" t="s">
        <v>20</v>
      </c>
      <c r="AR5" s="7" t="s">
        <v>21</v>
      </c>
      <c r="AS5" s="50" t="s">
        <v>24</v>
      </c>
      <c r="AT5" s="61"/>
      <c r="AU5" s="54" t="s">
        <v>5</v>
      </c>
      <c r="AV5" s="62" t="s">
        <v>25</v>
      </c>
      <c r="AW5" s="63" t="s">
        <v>7</v>
      </c>
      <c r="AX5" s="47" t="s">
        <v>8</v>
      </c>
      <c r="AY5" s="48" t="s">
        <v>9</v>
      </c>
      <c r="AZ5" s="50" t="s">
        <v>10</v>
      </c>
      <c r="BA5" s="7" t="s">
        <v>11</v>
      </c>
      <c r="BB5" s="50" t="s">
        <v>12</v>
      </c>
      <c r="BC5" s="54" t="s">
        <v>13</v>
      </c>
      <c r="BD5" s="54" t="s">
        <v>14</v>
      </c>
      <c r="BE5" s="50" t="s">
        <v>15</v>
      </c>
      <c r="BF5" s="54" t="n">
        <v>120</v>
      </c>
      <c r="BG5" s="54" t="n">
        <v>240</v>
      </c>
      <c r="BH5" s="54" t="s">
        <v>16</v>
      </c>
      <c r="BI5" s="54" t="n">
        <v>360</v>
      </c>
      <c r="BJ5" s="54" t="s">
        <v>17</v>
      </c>
      <c r="BK5" s="54" t="s">
        <v>18</v>
      </c>
      <c r="BL5" s="54" t="n">
        <v>770</v>
      </c>
      <c r="BM5" s="54" t="s">
        <v>19</v>
      </c>
      <c r="BN5" s="54" t="s">
        <v>20</v>
      </c>
      <c r="BO5" s="7" t="s">
        <v>21</v>
      </c>
      <c r="BP5" s="50" t="s">
        <v>24</v>
      </c>
      <c r="BQ5" s="64"/>
      <c r="BR5" s="57" t="s">
        <v>5</v>
      </c>
      <c r="BS5" s="45" t="s">
        <v>26</v>
      </c>
      <c r="BT5" s="58" t="s">
        <v>7</v>
      </c>
      <c r="BU5" s="59" t="s">
        <v>8</v>
      </c>
      <c r="BV5" s="60" t="s">
        <v>9</v>
      </c>
      <c r="BW5" s="50" t="s">
        <v>10</v>
      </c>
      <c r="BX5" s="7" t="s">
        <v>11</v>
      </c>
      <c r="BY5" s="50" t="s">
        <v>12</v>
      </c>
      <c r="BZ5" s="54" t="s">
        <v>13</v>
      </c>
      <c r="CA5" s="54" t="s">
        <v>14</v>
      </c>
      <c r="CB5" s="50" t="s">
        <v>15</v>
      </c>
      <c r="CC5" s="54" t="n">
        <v>120</v>
      </c>
      <c r="CD5" s="54" t="n">
        <v>240</v>
      </c>
      <c r="CE5" s="54" t="s">
        <v>16</v>
      </c>
      <c r="CF5" s="54" t="n">
        <v>360</v>
      </c>
      <c r="CG5" s="54" t="s">
        <v>17</v>
      </c>
      <c r="CH5" s="54" t="s">
        <v>18</v>
      </c>
      <c r="CI5" s="54" t="n">
        <v>770</v>
      </c>
      <c r="CJ5" s="54" t="s">
        <v>19</v>
      </c>
      <c r="CK5" s="54" t="s">
        <v>20</v>
      </c>
      <c r="CL5" s="7" t="s">
        <v>21</v>
      </c>
      <c r="CM5" s="50" t="s">
        <v>24</v>
      </c>
      <c r="CN5" s="64"/>
      <c r="CO5" s="65" t="s">
        <v>5</v>
      </c>
      <c r="CP5" s="66" t="s">
        <v>27</v>
      </c>
      <c r="CQ5" s="58" t="s">
        <v>7</v>
      </c>
      <c r="CR5" s="59" t="s">
        <v>8</v>
      </c>
      <c r="CS5" s="60" t="s">
        <v>9</v>
      </c>
      <c r="CT5" s="50" t="s">
        <v>10</v>
      </c>
      <c r="CU5" s="7" t="s">
        <v>11</v>
      </c>
      <c r="CV5" s="50" t="s">
        <v>12</v>
      </c>
      <c r="CW5" s="54" t="s">
        <v>13</v>
      </c>
      <c r="CX5" s="54" t="s">
        <v>14</v>
      </c>
      <c r="CY5" s="50" t="s">
        <v>15</v>
      </c>
      <c r="CZ5" s="67" t="n">
        <v>120</v>
      </c>
      <c r="DA5" s="67" t="n">
        <v>240</v>
      </c>
      <c r="DB5" s="54" t="s">
        <v>16</v>
      </c>
      <c r="DC5" s="67" t="n">
        <v>360</v>
      </c>
      <c r="DD5" s="67" t="s">
        <v>17</v>
      </c>
      <c r="DE5" s="67" t="s">
        <v>18</v>
      </c>
      <c r="DF5" s="67" t="n">
        <v>770</v>
      </c>
      <c r="DG5" s="67" t="s">
        <v>19</v>
      </c>
      <c r="DH5" s="67" t="s">
        <v>20</v>
      </c>
      <c r="DI5" s="7" t="s">
        <v>21</v>
      </c>
      <c r="DJ5" s="50" t="s">
        <v>24</v>
      </c>
      <c r="DK5" s="2"/>
      <c r="DL5" s="2"/>
      <c r="DM5" s="68"/>
      <c r="DN5" s="2"/>
      <c r="DO5" s="2"/>
    </row>
    <row r="6" customFormat="false" ht="24.45" hidden="false" customHeight="false" outlineLevel="0" collapsed="false">
      <c r="A6" s="69" t="s">
        <v>28</v>
      </c>
      <c r="B6" s="70" t="s">
        <v>29</v>
      </c>
      <c r="C6" s="71" t="s">
        <v>30</v>
      </c>
      <c r="D6" s="72" t="n">
        <f aca="false">0.5*(L6+M6+N6)+O6+Q6+2*(R6+S6)</f>
        <v>0</v>
      </c>
      <c r="E6" s="73" t="n">
        <f aca="false">L6*0.5+M6*0.5+N6*0.5+O6+P6+Q6+2*(R6+S6+T6)</f>
        <v>0</v>
      </c>
      <c r="F6" s="70"/>
      <c r="G6" s="70"/>
      <c r="H6" s="70"/>
      <c r="I6" s="70"/>
      <c r="J6" s="70"/>
      <c r="K6" s="70"/>
      <c r="L6" s="74" t="n">
        <f aca="false">SUMIFS(L16:L33,C16:C33,C6)</f>
        <v>0</v>
      </c>
      <c r="M6" s="74" t="n">
        <f aca="false">SUMIFS(M16:M33,C16:C33,C6)</f>
        <v>0</v>
      </c>
      <c r="N6" s="74" t="n">
        <f aca="false">SUMIFS(N16:N33,C16:C33,C6)</f>
        <v>0</v>
      </c>
      <c r="O6" s="74" t="n">
        <f aca="false">SUMIFS(O16:O33,C16:C33,C6)</f>
        <v>0</v>
      </c>
      <c r="P6" s="74" t="n">
        <f aca="false">SUMIFS(P16:P33,C16:C33,C6)</f>
        <v>0</v>
      </c>
      <c r="Q6" s="74" t="n">
        <f aca="false">SUMIFS(Q16:Q33,C16:C33,C6)</f>
        <v>0</v>
      </c>
      <c r="R6" s="74" t="n">
        <f aca="false">SUMIFS(R16:R33,C16:C33,C6)</f>
        <v>0</v>
      </c>
      <c r="S6" s="74" t="n">
        <f aca="false">SUMIFS(S16:S33,C16:C33,C6)</f>
        <v>0</v>
      </c>
      <c r="T6" s="74" t="n">
        <f aca="false">SUMIFS(T16:T33,C16:C33,C6)</f>
        <v>0</v>
      </c>
      <c r="U6" s="75"/>
      <c r="V6" s="76" t="n">
        <f aca="false">SUM(U8:U37)</f>
        <v>8</v>
      </c>
      <c r="W6" s="77"/>
      <c r="X6" s="69" t="s">
        <v>31</v>
      </c>
      <c r="Y6" s="70"/>
      <c r="Z6" s="78" t="s">
        <v>30</v>
      </c>
      <c r="AA6" s="79" t="n">
        <f aca="false">0.5*(AI6+AJ6+AK6)+AL6+AN6+2*(AO6+AP6)</f>
        <v>0</v>
      </c>
      <c r="AB6" s="80" t="n">
        <f aca="false">AI6*0.5+AJ6*0.5+AK6*0.5+AL6+AM6+AN6+2*(AO6+AP6+AQ6)</f>
        <v>0</v>
      </c>
      <c r="AC6" s="81"/>
      <c r="AD6" s="81"/>
      <c r="AE6" s="81"/>
      <c r="AF6" s="81"/>
      <c r="AG6" s="81"/>
      <c r="AH6" s="81"/>
      <c r="AI6" s="82" t="n">
        <f aca="false">SUMIFS(AI8:AI30,Z8:Z30,Z6)</f>
        <v>0</v>
      </c>
      <c r="AJ6" s="82" t="n">
        <f aca="false">SUMIFS(AJ8:AJ30,Z8:Z30,Z6)</f>
        <v>0</v>
      </c>
      <c r="AK6" s="82" t="n">
        <f aca="false">SUMIFS(AK8:AK30,Z8:Z30,Z6)</f>
        <v>0</v>
      </c>
      <c r="AL6" s="82" t="n">
        <f aca="false">SUMIFS(AL8:AL30,Z8:Z30,Z6)</f>
        <v>0</v>
      </c>
      <c r="AM6" s="82" t="n">
        <f aca="false">SUMIFS(AM8:AM30,Z8:Z30,Z6)</f>
        <v>0</v>
      </c>
      <c r="AN6" s="82" t="n">
        <f aca="false">SUMIFS(AN8:AN30,Z8:Z30,Z6)</f>
        <v>0</v>
      </c>
      <c r="AO6" s="82" t="n">
        <f aca="false">SUMIFS(AO8:AO30,Z8:Z30,Z6)</f>
        <v>0</v>
      </c>
      <c r="AP6" s="82" t="n">
        <f aca="false">SUMIFS(AP8:AP30,Z8:Z30,Z6)</f>
        <v>0</v>
      </c>
      <c r="AQ6" s="82" t="n">
        <f aca="false">SUMIFS(AQ8:AQ30,Z8:Z30,Z6)</f>
        <v>0</v>
      </c>
      <c r="AR6" s="83"/>
      <c r="AS6" s="84" t="n">
        <f aca="false">SUM(AR8:AR37)</f>
        <v>0</v>
      </c>
      <c r="AT6" s="85"/>
      <c r="AU6" s="69" t="s">
        <v>28</v>
      </c>
      <c r="AV6" s="70" t="s">
        <v>32</v>
      </c>
      <c r="AW6" s="71" t="s">
        <v>30</v>
      </c>
      <c r="AX6" s="72" t="n">
        <f aca="false">0.5*(BF6+BG6+BH6)+BI6+BK6+2*(BL6+BM6)</f>
        <v>0</v>
      </c>
      <c r="AY6" s="73" t="n">
        <f aca="false">BF6*0.5+BG6*0.5+BH6*0.5+BI6+BJ6+BK6+2*(BL6+BM6+BN6)</f>
        <v>0</v>
      </c>
      <c r="AZ6" s="70"/>
      <c r="BA6" s="70"/>
      <c r="BB6" s="70"/>
      <c r="BC6" s="70"/>
      <c r="BD6" s="70"/>
      <c r="BE6" s="70"/>
      <c r="BF6" s="74" t="n">
        <f aca="false">SUMIFS(BF8:BF38,AW8:AW38,AW6)</f>
        <v>0</v>
      </c>
      <c r="BG6" s="74" t="n">
        <f aca="false">SUMIFS(BG8:BG38,AW8:AW38,AW6)</f>
        <v>0</v>
      </c>
      <c r="BH6" s="74" t="n">
        <f aca="false">SUMIFS(BH8:BH38,AW8:AW38,AW6)</f>
        <v>0</v>
      </c>
      <c r="BI6" s="74" t="n">
        <f aca="false">SUMIFS(BI8:BI38,AW8:AW38,AW6)</f>
        <v>0</v>
      </c>
      <c r="BJ6" s="74" t="n">
        <f aca="false">SUMIFS(BJ8:BJ38,AW8:AW38,AW6)</f>
        <v>0</v>
      </c>
      <c r="BK6" s="74" t="n">
        <f aca="false">SUMIFS(BK8:BK38,AW8:AW38,AW6)</f>
        <v>0</v>
      </c>
      <c r="BL6" s="74" t="n">
        <f aca="false">SUMIFS(BL8:BL38,AW8:AW38,AW6)</f>
        <v>0</v>
      </c>
      <c r="BM6" s="74" t="n">
        <f aca="false">SUMIFS(BM8:BM38,AW8:AW38,AW6)</f>
        <v>0</v>
      </c>
      <c r="BN6" s="74" t="n">
        <f aca="false">SUMIFS(BN8:BN38,AW8:AW38,AW6)</f>
        <v>0</v>
      </c>
      <c r="BO6" s="75"/>
      <c r="BP6" s="76" t="n">
        <f aca="false">SUM(BO8:BO37)</f>
        <v>0</v>
      </c>
      <c r="BQ6" s="86"/>
      <c r="BR6" s="69" t="s">
        <v>33</v>
      </c>
      <c r="BS6" s="70"/>
      <c r="BT6" s="71" t="s">
        <v>30</v>
      </c>
      <c r="BU6" s="72" t="n">
        <f aca="false">0.5*(CC6+CD6+CE6)+CF6+CH6+2*(CI6+CJ6)</f>
        <v>6</v>
      </c>
      <c r="BV6" s="73" t="n">
        <f aca="false">CC6*0.5+CD6*0.5+CE6*0.5+CF6+CG6+CH6+2*(CI6+CJ6+CK6)</f>
        <v>6</v>
      </c>
      <c r="BW6" s="70"/>
      <c r="BX6" s="87"/>
      <c r="BY6" s="70"/>
      <c r="BZ6" s="70"/>
      <c r="CA6" s="70"/>
      <c r="CB6" s="87"/>
      <c r="CC6" s="74" t="n">
        <f aca="false">SUMIFS(CZ92:CZ103,CQ92:CQ103,BT6)</f>
        <v>0</v>
      </c>
      <c r="CD6" s="74" t="n">
        <f aca="false">SUMIFS(DA92:DA103,CQ92:CQ103,BT6)</f>
        <v>0</v>
      </c>
      <c r="CE6" s="74" t="n">
        <f aca="false">SUMIFS(DB92:DB103,CQ92:CQ103,BT6)</f>
        <v>0</v>
      </c>
      <c r="CF6" s="74" t="n">
        <f aca="false">SUMIFS(DC92:DC103,CQ92:CQ103,BT6)</f>
        <v>0</v>
      </c>
      <c r="CG6" s="74" t="n">
        <f aca="false">SUMIFS(DD92:DD103,CQ92:CQ103,BT6)</f>
        <v>0</v>
      </c>
      <c r="CH6" s="74" t="n">
        <f aca="false">SUMIFS(DE92:DE103,CQ92:CQ103,BT6)</f>
        <v>4</v>
      </c>
      <c r="CI6" s="74" t="n">
        <f aca="false">SUMIFS(DF92:DF103,CQ92:CQ103,BT6)</f>
        <v>0</v>
      </c>
      <c r="CJ6" s="74" t="n">
        <f aca="false">SUMIFS(DG92:DG103,CQ92:CQ103,BT6)</f>
        <v>1</v>
      </c>
      <c r="CK6" s="74" t="n">
        <f aca="false">SUMIFS(DH92:DH103,CQ92:CQ103,BT6)</f>
        <v>0</v>
      </c>
      <c r="CL6" s="75"/>
      <c r="CM6" s="76" t="n">
        <f aca="false">SUM(CL8:CL25)</f>
        <v>12</v>
      </c>
      <c r="CN6" s="88"/>
      <c r="CO6" s="69" t="s">
        <v>34</v>
      </c>
      <c r="CP6" s="70"/>
      <c r="CQ6" s="71" t="s">
        <v>30</v>
      </c>
      <c r="CR6" s="72" t="n">
        <f aca="false">0.5*(CZ6+DA6+DB6)+DC6+DE6+2*(DF6+DG6)</f>
        <v>3</v>
      </c>
      <c r="CS6" s="73" t="n">
        <f aca="false">CZ6*0.5+DA6*0.5+DB6*0.5+DC6+DD6+DE6+2*(DF6+DG6+DH6)</f>
        <v>5</v>
      </c>
      <c r="CT6" s="70"/>
      <c r="CU6" s="70"/>
      <c r="CV6" s="70"/>
      <c r="CW6" s="70"/>
      <c r="CX6" s="70"/>
      <c r="CY6" s="70"/>
      <c r="CZ6" s="74" t="n">
        <f aca="false">SUMIFS(CZ8:CZ34,CQ8:CQ34,CQ6)</f>
        <v>0</v>
      </c>
      <c r="DA6" s="74" t="n">
        <f aca="false">SUMIFS(DA8:DA34,CQ8:CQ34,CQ6)</f>
        <v>0</v>
      </c>
      <c r="DB6" s="74" t="n">
        <f aca="false">SUMIFS(DB8:DB34,CQ8:CQ34,CQ6)</f>
        <v>0</v>
      </c>
      <c r="DC6" s="74" t="n">
        <f aca="false">SUMIFS(DC8:DC34,CQ8:CQ34,CQ6)</f>
        <v>3</v>
      </c>
      <c r="DD6" s="74" t="n">
        <f aca="false">SUMIFS(DD8:DD34,CQ8:CQ34,CQ6)</f>
        <v>2</v>
      </c>
      <c r="DE6" s="74" t="n">
        <f aca="false">SUMIFS(DE8:DE34,CQ8:CQ34,CQ6)</f>
        <v>0</v>
      </c>
      <c r="DF6" s="74" t="n">
        <f aca="false">SUMIFS(DF8:DF34,CQ8:CQ34,CQ6)</f>
        <v>0</v>
      </c>
      <c r="DG6" s="74" t="n">
        <f aca="false">SUMIFS(DG8:DG34,CQ8:CQ34,CQ6)</f>
        <v>0</v>
      </c>
      <c r="DH6" s="74" t="n">
        <f aca="false">SUMIFS(DH8:DH34,CQ8:CQ34,CQ6)</f>
        <v>0</v>
      </c>
      <c r="DI6" s="75"/>
      <c r="DJ6" s="76" t="n">
        <f aca="false">SUM(DI8:DI37)</f>
        <v>7</v>
      </c>
      <c r="DM6" s="89"/>
    </row>
    <row r="7" customFormat="false" ht="24.45" hidden="false" customHeight="false" outlineLevel="0" collapsed="false">
      <c r="A7" s="69" t="s">
        <v>35</v>
      </c>
      <c r="B7" s="70"/>
      <c r="C7" s="71" t="s">
        <v>36</v>
      </c>
      <c r="D7" s="72" t="n">
        <f aca="false">0.5*(L7+M7+N7)+O7+Q7+2*(R7+S7)</f>
        <v>0</v>
      </c>
      <c r="E7" s="73" t="n">
        <f aca="false">L7*0.5+M7*0.5+N7*0.5+O7+P7+Q7+2*(R7+S7+T7)</f>
        <v>0</v>
      </c>
      <c r="F7" s="70"/>
      <c r="G7" s="70"/>
      <c r="H7" s="70"/>
      <c r="I7" s="70"/>
      <c r="J7" s="70"/>
      <c r="K7" s="70"/>
      <c r="L7" s="74" t="n">
        <f aca="false">SUMIFS(L16:L33,C16:C33,C7)</f>
        <v>0</v>
      </c>
      <c r="M7" s="74" t="n">
        <f aca="false">SUMIFS(M16:M33,C16:C33,C7)</f>
        <v>0</v>
      </c>
      <c r="N7" s="74" t="n">
        <f aca="false">SUMIFS(N16:N33,C16:C33,C7)</f>
        <v>0</v>
      </c>
      <c r="O7" s="74" t="n">
        <f aca="false">SUMIFS(O16:O33,C16:C33,C7)</f>
        <v>0</v>
      </c>
      <c r="P7" s="74" t="n">
        <f aca="false">SUMIFS(P16:P33,C16:C33,C7)</f>
        <v>0</v>
      </c>
      <c r="Q7" s="74" t="n">
        <f aca="false">SUMIFS(Q16:Q33,C16:C33,C7)</f>
        <v>0</v>
      </c>
      <c r="R7" s="74" t="n">
        <f aca="false">SUMIFS(R16:R33,C16:C33,C7)</f>
        <v>0</v>
      </c>
      <c r="S7" s="74" t="n">
        <f aca="false">SUMIFS(S16:S33,C16:C33,C7)</f>
        <v>0</v>
      </c>
      <c r="T7" s="74" t="n">
        <f aca="false">SUMIFS(T16:T33,C16:C33,C7)</f>
        <v>0</v>
      </c>
      <c r="U7" s="75"/>
      <c r="V7" s="76"/>
      <c r="W7" s="90"/>
      <c r="X7" s="69" t="s">
        <v>37</v>
      </c>
      <c r="Y7" s="70"/>
      <c r="Z7" s="71" t="s">
        <v>36</v>
      </c>
      <c r="AA7" s="72" t="n">
        <f aca="false">0.5*(AI7+AJ7+AK7)+AL7+AN7+2*(AO7+AP7)</f>
        <v>0</v>
      </c>
      <c r="AB7" s="73" t="n">
        <f aca="false">AI7*0.5+AJ7*0.5+AK7*0.5+AL7+AM7+AN7+2*(AO7+AP7+AQ7)</f>
        <v>0</v>
      </c>
      <c r="AC7" s="70"/>
      <c r="AD7" s="70"/>
      <c r="AE7" s="70"/>
      <c r="AF7" s="70"/>
      <c r="AG7" s="70"/>
      <c r="AH7" s="70"/>
      <c r="AI7" s="74" t="n">
        <f aca="false">SUMIFS(AI8:AI30,Z8:Z30,Z7)</f>
        <v>0</v>
      </c>
      <c r="AJ7" s="74" t="n">
        <f aca="false">SUMIFS(AJ8:AJ30,Z8:Z30,Z7)</f>
        <v>0</v>
      </c>
      <c r="AK7" s="74" t="n">
        <f aca="false">SUMIFS(AK8:AK30,Z8:Z30,Z7)</f>
        <v>0</v>
      </c>
      <c r="AL7" s="74" t="n">
        <f aca="false">SUMIFS(AL8:AL30,Z8:Z30,Z7)</f>
        <v>0</v>
      </c>
      <c r="AM7" s="74" t="n">
        <f aca="false">SUMIFS(AM8:AM30,Z8:Z30,Z7)</f>
        <v>0</v>
      </c>
      <c r="AN7" s="74" t="n">
        <f aca="false">SUMIFS(AN8:AN30,Z8:Z30,Z7)</f>
        <v>0</v>
      </c>
      <c r="AO7" s="74" t="n">
        <f aca="false">SUMIFS(AO8:AO30,Z8:Z30,Z7)</f>
        <v>0</v>
      </c>
      <c r="AP7" s="74" t="n">
        <f aca="false">SUMIFS(AP8:AP30,Z8:Z30,Z7)</f>
        <v>0</v>
      </c>
      <c r="AQ7" s="74" t="n">
        <f aca="false">SUMIFS(AQ8:AQ30,Z8:Z30,Z7)</f>
        <v>0</v>
      </c>
      <c r="AR7" s="75"/>
      <c r="AS7" s="76"/>
      <c r="AT7" s="2"/>
      <c r="AU7" s="69" t="s">
        <v>35</v>
      </c>
      <c r="AV7" s="91"/>
      <c r="AW7" s="71" t="s">
        <v>36</v>
      </c>
      <c r="AX7" s="72" t="n">
        <f aca="false">0.5*(BF7+BG7+BH7)+BI7+BK7+2*(BL7+BM7)</f>
        <v>0</v>
      </c>
      <c r="AY7" s="73" t="n">
        <f aca="false">BF7*0.5+BG7*0.5+BH7*0.5+BI7+BJ7+BK7+2*(BL7+BM7+BN7)</f>
        <v>0</v>
      </c>
      <c r="AZ7" s="70"/>
      <c r="BA7" s="70"/>
      <c r="BB7" s="70"/>
      <c r="BC7" s="70"/>
      <c r="BD7" s="70"/>
      <c r="BE7" s="70"/>
      <c r="BF7" s="74" t="n">
        <f aca="false">SUMIFS(BF8:BF38,AW8:AW38,AW7)</f>
        <v>0</v>
      </c>
      <c r="BG7" s="74" t="n">
        <f aca="false">SUMIFS(BG8:BG38,AW8:AW38,AW7)</f>
        <v>0</v>
      </c>
      <c r="BH7" s="74" t="n">
        <f aca="false">SUMIFS(BH8:BH38,AW8:AW38,AW7)</f>
        <v>0</v>
      </c>
      <c r="BI7" s="74" t="n">
        <f aca="false">SUMIFS(BI8:BI38,AW8:AW38,AW7)</f>
        <v>0</v>
      </c>
      <c r="BJ7" s="74" t="n">
        <f aca="false">SUMIFS(BJ8:BJ38,AW8:AW38,AW7)</f>
        <v>0</v>
      </c>
      <c r="BK7" s="74" t="n">
        <f aca="false">SUMIFS(BK8:BK38,AW8:AW38,AW7)</f>
        <v>0</v>
      </c>
      <c r="BL7" s="74" t="n">
        <f aca="false">SUMIFS(BL8:BL38,AW8:AW38,AW7)</f>
        <v>0</v>
      </c>
      <c r="BM7" s="74" t="n">
        <f aca="false">SUMIFS(BM8:BM38,AW8:AW38,AW7)</f>
        <v>0</v>
      </c>
      <c r="BN7" s="74" t="n">
        <f aca="false">SUMIFS(BN8:BN38,AW8:AW38,AW7)</f>
        <v>0</v>
      </c>
      <c r="BO7" s="75"/>
      <c r="BP7" s="76"/>
      <c r="BQ7" s="85"/>
      <c r="BR7" s="69" t="s">
        <v>38</v>
      </c>
      <c r="BS7" s="70"/>
      <c r="BT7" s="71" t="s">
        <v>36</v>
      </c>
      <c r="BU7" s="72" t="n">
        <f aca="false">0.5*(CC7+CD7+CE7)+CF7+CH7+2*(CI7+CJ7)</f>
        <v>8.5</v>
      </c>
      <c r="BV7" s="73" t="n">
        <f aca="false">CC7*0.5+CD7*0.5+CE7*0.5+CF7+CG7+CH7+2*(CI7+CJ7+CK7)</f>
        <v>14.5</v>
      </c>
      <c r="BW7" s="70"/>
      <c r="BX7" s="87"/>
      <c r="BY7" s="70"/>
      <c r="BZ7" s="70"/>
      <c r="CA7" s="70"/>
      <c r="CB7" s="87"/>
      <c r="CC7" s="74" t="n">
        <f aca="false">SUMIFS(CZ92:CZ103,CQ92:CQ103,BT7)</f>
        <v>1</v>
      </c>
      <c r="CD7" s="74" t="n">
        <f aca="false">SUMIFS(DA92:DA103,CQ92:CQ103,BT7)</f>
        <v>6</v>
      </c>
      <c r="CE7" s="74" t="n">
        <f aca="false">SUMIFS(DB92:DB103,CQ92:CQ103,BT7)</f>
        <v>0</v>
      </c>
      <c r="CF7" s="74" t="n">
        <f aca="false">SUMIFS(DC92:DC103,CQ92:CQ103,BT7)</f>
        <v>4</v>
      </c>
      <c r="CG7" s="74" t="n">
        <f aca="false">SUMIFS(DD92:DD103,CQ92:CQ103,BT7)</f>
        <v>0</v>
      </c>
      <c r="CH7" s="74" t="n">
        <f aca="false">SUMIFS(DE92:DE103,CQ92:CQ103,BT7)</f>
        <v>1</v>
      </c>
      <c r="CI7" s="74" t="n">
        <f aca="false">SUMIFS(DF92:DF103,CQ92:CQ103,BT7)</f>
        <v>0</v>
      </c>
      <c r="CJ7" s="74" t="n">
        <f aca="false">SUMIFS(DG92:DG103,CQ92:CQ103,BT7)</f>
        <v>0</v>
      </c>
      <c r="CK7" s="74" t="n">
        <f aca="false">SUMIFS(DH92:DH103,CQ92:CQ103,BT7)</f>
        <v>3</v>
      </c>
      <c r="CL7" s="75"/>
      <c r="CM7" s="76"/>
      <c r="CN7" s="2"/>
      <c r="CO7" s="69" t="s">
        <v>39</v>
      </c>
      <c r="CP7" s="70"/>
      <c r="CQ7" s="71" t="s">
        <v>36</v>
      </c>
      <c r="CR7" s="72" t="n">
        <f aca="false">0.5*(CZ7+DA7+DB7)+DC7+DE7+2*(DF7+DG7)</f>
        <v>0</v>
      </c>
      <c r="CS7" s="73" t="n">
        <f aca="false">CZ7*0.5+DA7*0.5+DB7*0.5+DC7+DD7+DE7+2*(DF7+DG7+DH7)</f>
        <v>0</v>
      </c>
      <c r="CT7" s="70"/>
      <c r="CU7" s="70"/>
      <c r="CV7" s="70"/>
      <c r="CW7" s="70"/>
      <c r="CX7" s="70"/>
      <c r="CY7" s="70"/>
      <c r="CZ7" s="74" t="n">
        <f aca="false">SUMIFS(CZ8:CZ34,CQ8:CQ34,CQ7)</f>
        <v>0</v>
      </c>
      <c r="DA7" s="74" t="n">
        <f aca="false">SUMIFS(DA8:DA34,CQ8:CQ34,CQ7)</f>
        <v>0</v>
      </c>
      <c r="DB7" s="74" t="n">
        <f aca="false">SUMIFS(DB8:DB34,CQ8:CQ34,CQ7)</f>
        <v>0</v>
      </c>
      <c r="DC7" s="74" t="n">
        <f aca="false">SUMIFS(DC8:DC34,CQ8:CQ34,CQ7)</f>
        <v>0</v>
      </c>
      <c r="DD7" s="74" t="n">
        <f aca="false">SUMIFS(DD8:DD34,CQ8:CQ34,CQ7)</f>
        <v>0</v>
      </c>
      <c r="DE7" s="74" t="n">
        <f aca="false">SUMIFS(DE8:DE34,CQ8:CQ34,CQ7)</f>
        <v>0</v>
      </c>
      <c r="DF7" s="74" t="n">
        <f aca="false">SUMIFS(DF8:DF34,CQ8:CQ34,CQ7)</f>
        <v>0</v>
      </c>
      <c r="DG7" s="74" t="n">
        <f aca="false">SUMIFS(DG8:DG34,CQ8:CQ34,CQ7)</f>
        <v>0</v>
      </c>
      <c r="DH7" s="74" t="n">
        <f aca="false">SUMIFS(DH8:DH34,CQ8:CQ34,CQ7)</f>
        <v>0</v>
      </c>
      <c r="DI7" s="75"/>
      <c r="DJ7" s="76"/>
      <c r="DK7" s="11"/>
      <c r="DL7" s="11"/>
      <c r="DM7" s="11"/>
      <c r="DN7" s="11"/>
      <c r="DO7" s="11"/>
    </row>
    <row r="8" customFormat="false" ht="261" hidden="false" customHeight="true" outlineLevel="0" collapsed="false">
      <c r="A8" s="92" t="s">
        <v>40</v>
      </c>
      <c r="B8" s="93" t="s">
        <v>41</v>
      </c>
      <c r="C8" s="94" t="s">
        <v>30</v>
      </c>
      <c r="D8" s="95" t="n">
        <f aca="false">0.5*(L8+M8+N8)+O8+Q8+2*(R8+S8)</f>
        <v>2.5</v>
      </c>
      <c r="E8" s="95" t="n">
        <f aca="false">L8*0.5+M8*0.5+N8*0.5+O8+P8+Q8+2*(R8+S8+T8)</f>
        <v>4.5</v>
      </c>
      <c r="F8" s="96"/>
      <c r="G8" s="7" t="s">
        <v>42</v>
      </c>
      <c r="H8" s="97"/>
      <c r="I8" s="97"/>
      <c r="J8" s="98"/>
      <c r="K8" s="98" t="s">
        <v>43</v>
      </c>
      <c r="L8" s="99"/>
      <c r="M8" s="100" t="n">
        <v>1</v>
      </c>
      <c r="N8" s="99"/>
      <c r="O8" s="99"/>
      <c r="P8" s="99"/>
      <c r="Q8" s="99"/>
      <c r="R8" s="100" t="n">
        <v>1</v>
      </c>
      <c r="S8" s="99"/>
      <c r="T8" s="101" t="n">
        <v>1</v>
      </c>
      <c r="U8" s="102" t="n">
        <v>1</v>
      </c>
      <c r="V8" s="103"/>
      <c r="W8" s="90"/>
      <c r="AT8" s="2"/>
      <c r="AU8" s="104"/>
      <c r="AV8" s="105"/>
      <c r="AW8" s="94"/>
      <c r="AX8" s="95"/>
      <c r="AY8" s="95"/>
      <c r="AZ8" s="106"/>
      <c r="BC8" s="107"/>
      <c r="BD8" s="7"/>
      <c r="BE8" s="7"/>
      <c r="BF8" s="99"/>
      <c r="BG8" s="99"/>
      <c r="BH8" s="99"/>
      <c r="BI8" s="99"/>
      <c r="BJ8" s="99"/>
      <c r="BK8" s="100"/>
      <c r="BL8" s="99"/>
      <c r="BM8" s="99"/>
      <c r="BN8" s="99"/>
      <c r="BO8" s="108"/>
      <c r="BP8" s="109"/>
      <c r="BQ8" s="110"/>
      <c r="BR8" s="111" t="s">
        <v>44</v>
      </c>
      <c r="BS8" s="112" t="s">
        <v>45</v>
      </c>
      <c r="BT8" s="94" t="s">
        <v>30</v>
      </c>
      <c r="BU8" s="95" t="n">
        <f aca="false">0.5*(CC8+CD8+CE8)+CF8+CH8+2*(CI8+CJ8)</f>
        <v>0</v>
      </c>
      <c r="BV8" s="95" t="n">
        <f aca="false">CC8*0.5+CD8*0.5+CE8*0.5+CF8+CG8+CH8+2*(CI8+CJ8+CK8)</f>
        <v>0</v>
      </c>
      <c r="BW8" s="7" t="e">
        <f aca="false">#VALUE!</f>
        <v>#VALUE!</v>
      </c>
      <c r="BX8" s="7" t="s">
        <v>46</v>
      </c>
      <c r="BY8" s="113" t="s">
        <v>47</v>
      </c>
      <c r="BZ8" s="107" t="s">
        <v>48</v>
      </c>
      <c r="CA8" s="50"/>
      <c r="CB8" s="114" t="s">
        <v>4</v>
      </c>
      <c r="CC8" s="115"/>
      <c r="CD8" s="50"/>
      <c r="CE8" s="50"/>
      <c r="CF8" s="50"/>
      <c r="CG8" s="50"/>
      <c r="CH8" s="50"/>
      <c r="CI8" s="50"/>
      <c r="CJ8" s="50"/>
      <c r="CK8" s="50"/>
      <c r="CL8" s="108" t="n">
        <v>7</v>
      </c>
      <c r="CM8" s="109"/>
      <c r="CN8" s="110"/>
      <c r="CO8" s="116" t="s">
        <v>49</v>
      </c>
      <c r="CP8" s="117" t="s">
        <v>50</v>
      </c>
      <c r="CQ8" s="118" t="s">
        <v>30</v>
      </c>
      <c r="CR8" s="118" t="n">
        <f aca="false">0.5*(CZ8+DA8+DB8)+DC8+DE8+2*(DF8+DG8)</f>
        <v>3</v>
      </c>
      <c r="CS8" s="118" t="n">
        <f aca="false">CZ8*0.5+DA8*0.5+DB8*0.5+DC8+DD8+DE8+2*(DF8+DG8+DH8)</f>
        <v>5</v>
      </c>
      <c r="CT8" s="119"/>
      <c r="CU8" s="7" t="s">
        <v>51</v>
      </c>
      <c r="CV8" s="120" t="s">
        <v>52</v>
      </c>
      <c r="CW8" s="107" t="s">
        <v>48</v>
      </c>
      <c r="CX8" s="119"/>
      <c r="CY8" s="119" t="s">
        <v>53</v>
      </c>
      <c r="CZ8" s="121"/>
      <c r="DA8" s="121"/>
      <c r="DB8" s="121"/>
      <c r="DC8" s="122" t="n">
        <v>3</v>
      </c>
      <c r="DD8" s="123" t="n">
        <v>2</v>
      </c>
      <c r="DE8" s="124"/>
      <c r="DF8" s="121"/>
      <c r="DG8" s="121"/>
      <c r="DH8" s="121"/>
      <c r="DI8" s="125" t="n">
        <v>1</v>
      </c>
      <c r="DJ8" s="119"/>
      <c r="DK8" s="126"/>
      <c r="DL8" s="126"/>
      <c r="DM8" s="126"/>
      <c r="DN8" s="126"/>
      <c r="DO8" s="126"/>
    </row>
    <row r="9" customFormat="false" ht="255" hidden="false" customHeight="true" outlineLevel="0" collapsed="false">
      <c r="A9" s="92" t="s">
        <v>40</v>
      </c>
      <c r="B9" s="127" t="s">
        <v>54</v>
      </c>
      <c r="C9" s="118" t="s">
        <v>30</v>
      </c>
      <c r="D9" s="95" t="n">
        <f aca="false">0.5*(L9+M9+N9)+O9+Q9+2*(R9+S9)</f>
        <v>0</v>
      </c>
      <c r="E9" s="95" t="n">
        <f aca="false">L9*0.5+M9*0.5+N9*0.5+O9+P9+Q9+2*(R9+S9+T9)</f>
        <v>1</v>
      </c>
      <c r="F9" s="128"/>
      <c r="G9" s="7" t="s">
        <v>42</v>
      </c>
      <c r="H9" s="103"/>
      <c r="I9" s="103"/>
      <c r="J9" s="103"/>
      <c r="K9" s="119" t="s">
        <v>55</v>
      </c>
      <c r="L9" s="129"/>
      <c r="M9" s="129"/>
      <c r="N9" s="129"/>
      <c r="O9" s="130"/>
      <c r="P9" s="131" t="n">
        <v>1</v>
      </c>
      <c r="Q9" s="132"/>
      <c r="R9" s="133"/>
      <c r="S9" s="129"/>
      <c r="T9" s="129"/>
      <c r="U9" s="102" t="n">
        <v>1</v>
      </c>
      <c r="V9" s="103"/>
      <c r="W9" s="90"/>
      <c r="AT9" s="2"/>
      <c r="AU9" s="104"/>
      <c r="AV9" s="134"/>
      <c r="AW9" s="94"/>
      <c r="AX9" s="95"/>
      <c r="AY9" s="95"/>
      <c r="AZ9" s="135"/>
      <c r="BB9" s="135"/>
      <c r="BC9" s="107"/>
      <c r="BD9" s="135"/>
      <c r="BE9" s="136"/>
      <c r="BF9" s="137"/>
      <c r="BG9" s="137"/>
      <c r="BH9" s="137"/>
      <c r="BI9" s="137"/>
      <c r="BJ9" s="137"/>
      <c r="BK9" s="137"/>
      <c r="BL9" s="137"/>
      <c r="BM9" s="137"/>
      <c r="BN9" s="137"/>
      <c r="BO9" s="108"/>
      <c r="BP9" s="138"/>
      <c r="BQ9" s="110"/>
      <c r="BR9" s="139" t="s">
        <v>44</v>
      </c>
      <c r="BS9" s="140" t="s">
        <v>56</v>
      </c>
      <c r="BT9" s="141" t="s">
        <v>30</v>
      </c>
      <c r="BU9" s="95" t="n">
        <f aca="false">0.5*(CC9+CD9+CE9)+CF9+CH9+2*(CI9+CJ9)</f>
        <v>5</v>
      </c>
      <c r="BV9" s="95" t="n">
        <f aca="false">CC9*0.5+CD9*0.5+CE9*0.5+CF9+CG9+CH9+2*(CI9+CJ9+CK9)</f>
        <v>5</v>
      </c>
      <c r="BW9" s="142"/>
      <c r="BX9" s="50" t="s">
        <v>57</v>
      </c>
      <c r="BY9" s="103"/>
      <c r="BZ9" s="7"/>
      <c r="CA9" s="143"/>
      <c r="CB9" s="98" t="s">
        <v>58</v>
      </c>
      <c r="CC9" s="100" t="n">
        <v>2</v>
      </c>
      <c r="CD9" s="50"/>
      <c r="CE9" s="50"/>
      <c r="CF9" s="133"/>
      <c r="CG9" s="50"/>
      <c r="CH9" s="50"/>
      <c r="CI9" s="100" t="n">
        <v>2</v>
      </c>
      <c r="CJ9" s="133"/>
      <c r="CK9" s="144"/>
      <c r="CL9" s="145" t="n">
        <v>1</v>
      </c>
      <c r="CM9" s="103"/>
      <c r="CN9" s="90"/>
      <c r="CO9" s="146" t="s">
        <v>59</v>
      </c>
      <c r="CP9" s="147" t="s">
        <v>60</v>
      </c>
      <c r="CQ9" s="118" t="s">
        <v>30</v>
      </c>
      <c r="CR9" s="118" t="n">
        <f aca="false">0.5*(CZ9+DA9+DB9)+DC9+DE9+2*(DF9+DG9)</f>
        <v>0</v>
      </c>
      <c r="CS9" s="118" t="n">
        <f aca="false">CZ9*0.5+DA9*0.5+DB9*0.5+DC9+DD9+DE9+2*(DF9+DG9+DH9)</f>
        <v>0</v>
      </c>
      <c r="CT9" s="148"/>
      <c r="CU9" s="149" t="s">
        <v>42</v>
      </c>
      <c r="CV9" s="149"/>
      <c r="CW9" s="149"/>
      <c r="CX9" s="119"/>
      <c r="CY9" s="149"/>
      <c r="CZ9" s="150"/>
      <c r="DA9" s="150"/>
      <c r="DB9" s="150"/>
      <c r="DC9" s="150"/>
      <c r="DD9" s="150"/>
      <c r="DE9" s="150"/>
      <c r="DF9" s="150"/>
      <c r="DG9" s="150"/>
      <c r="DH9" s="150"/>
      <c r="DI9" s="108" t="n">
        <v>1</v>
      </c>
      <c r="DJ9" s="151" t="s">
        <v>61</v>
      </c>
      <c r="DK9" s="126"/>
      <c r="DL9" s="126"/>
      <c r="DM9" s="126"/>
      <c r="DN9" s="126"/>
      <c r="DO9" s="126"/>
    </row>
    <row r="10" customFormat="false" ht="252.75" hidden="false" customHeight="true" outlineLevel="0" collapsed="false">
      <c r="A10" s="92" t="s">
        <v>40</v>
      </c>
      <c r="B10" s="127" t="s">
        <v>62</v>
      </c>
      <c r="C10" s="118" t="s">
        <v>30</v>
      </c>
      <c r="D10" s="95" t="n">
        <f aca="false">0.5*(L10+M10+N10)+O10+Q10+2*(R10+S10)</f>
        <v>0</v>
      </c>
      <c r="E10" s="95" t="n">
        <f aca="false">L10*0.5+M10*0.5+N10*0.5+O10+P10+Q10+2*(R10+S10+T10)</f>
        <v>1</v>
      </c>
      <c r="F10" s="128"/>
      <c r="G10" s="7" t="s">
        <v>42</v>
      </c>
      <c r="H10" s="103"/>
      <c r="I10" s="103"/>
      <c r="J10" s="103"/>
      <c r="K10" s="119" t="s">
        <v>55</v>
      </c>
      <c r="L10" s="129"/>
      <c r="M10" s="129"/>
      <c r="N10" s="129"/>
      <c r="O10" s="130"/>
      <c r="P10" s="131" t="n">
        <v>1</v>
      </c>
      <c r="Q10" s="132"/>
      <c r="R10" s="133"/>
      <c r="S10" s="129"/>
      <c r="T10" s="129"/>
      <c r="U10" s="102" t="n">
        <v>1</v>
      </c>
      <c r="V10" s="103"/>
      <c r="W10" s="110"/>
      <c r="AT10" s="2"/>
      <c r="AU10" s="104"/>
      <c r="AV10" s="105"/>
      <c r="AW10" s="94"/>
      <c r="AX10" s="95"/>
      <c r="AY10" s="95"/>
      <c r="AZ10" s="152"/>
      <c r="BC10" s="103"/>
      <c r="BD10" s="153"/>
      <c r="BE10" s="50"/>
      <c r="BF10" s="99"/>
      <c r="BG10" s="99"/>
      <c r="BH10" s="99"/>
      <c r="BI10" s="99"/>
      <c r="BJ10" s="99"/>
      <c r="BK10" s="99"/>
      <c r="BL10" s="99"/>
      <c r="BM10" s="99"/>
      <c r="BN10" s="99"/>
      <c r="BO10" s="108"/>
      <c r="BP10" s="154"/>
      <c r="BQ10" s="110"/>
      <c r="BR10" s="155" t="s">
        <v>44</v>
      </c>
      <c r="BS10" s="156" t="s">
        <v>63</v>
      </c>
      <c r="BT10" s="94" t="s">
        <v>30</v>
      </c>
      <c r="BU10" s="95" t="n">
        <f aca="false">0.5*(CC10+CD10+CE10)+CF10+CH10+2*(CI10+CJ10)</f>
        <v>2.5</v>
      </c>
      <c r="BV10" s="95" t="n">
        <f aca="false">CC10*0.5+CD10*0.5+CE10*0.5+CF10+CG10+CH10+2*(CI10+CJ10+CK10)</f>
        <v>2.5</v>
      </c>
      <c r="BW10" s="142"/>
      <c r="BX10" s="50" t="s">
        <v>57</v>
      </c>
      <c r="BY10" s="113" t="s">
        <v>47</v>
      </c>
      <c r="BZ10" s="7"/>
      <c r="CA10" s="143"/>
      <c r="CB10" s="114" t="s">
        <v>4</v>
      </c>
      <c r="CC10" s="100" t="n">
        <v>5</v>
      </c>
      <c r="CD10" s="50"/>
      <c r="CE10" s="50"/>
      <c r="CF10" s="50"/>
      <c r="CG10" s="50"/>
      <c r="CH10" s="50"/>
      <c r="CI10" s="50"/>
      <c r="CJ10" s="133"/>
      <c r="CK10" s="144"/>
      <c r="CL10" s="145" t="n">
        <v>1</v>
      </c>
      <c r="CM10" s="103"/>
      <c r="CN10" s="157"/>
      <c r="CO10" s="146" t="s">
        <v>59</v>
      </c>
      <c r="CP10" s="147" t="s">
        <v>64</v>
      </c>
      <c r="CQ10" s="118" t="s">
        <v>30</v>
      </c>
      <c r="CR10" s="118" t="n">
        <f aca="false">0.5*(CZ10+DA10+DB10)+DC10+DE10+2*(DF10+DG10)</f>
        <v>0</v>
      </c>
      <c r="CS10" s="118" t="n">
        <f aca="false">CZ10*0.5+DA10*0.5+DB10*0.5+DC10+DD10+DE10+2*(DF10+DG10+DH10)</f>
        <v>0</v>
      </c>
      <c r="CT10" s="148"/>
      <c r="CU10" s="158" t="s">
        <v>65</v>
      </c>
      <c r="CV10" s="159" t="s">
        <v>66</v>
      </c>
      <c r="CW10" s="149"/>
      <c r="CX10" s="119"/>
      <c r="CY10" s="149"/>
      <c r="CZ10" s="160"/>
      <c r="DA10" s="160"/>
      <c r="DB10" s="160"/>
      <c r="DC10" s="160"/>
      <c r="DD10" s="160"/>
      <c r="DE10" s="161"/>
      <c r="DF10" s="160"/>
      <c r="DG10" s="160"/>
      <c r="DH10" s="160"/>
      <c r="DI10" s="108" t="n">
        <v>1</v>
      </c>
      <c r="DJ10" s="151" t="s">
        <v>61</v>
      </c>
      <c r="DK10" s="126"/>
      <c r="DL10" s="126"/>
      <c r="DM10" s="126"/>
      <c r="DN10" s="126"/>
      <c r="DO10" s="126"/>
    </row>
    <row r="11" customFormat="false" ht="240" hidden="false" customHeight="true" outlineLevel="0" collapsed="false">
      <c r="A11" s="92" t="s">
        <v>40</v>
      </c>
      <c r="B11" s="93" t="s">
        <v>67</v>
      </c>
      <c r="C11" s="94" t="s">
        <v>30</v>
      </c>
      <c r="D11" s="95" t="n">
        <f aca="false">0.5*(L11+M11+N11)+O11+Q11+2*(R11+S11)</f>
        <v>0.5</v>
      </c>
      <c r="E11" s="95" t="n">
        <f aca="false">L11*0.5+M11*0.5+N11*0.5+O11+P11+Q11+2*(R11+S11+T11)</f>
        <v>2.5</v>
      </c>
      <c r="F11" s="162"/>
      <c r="G11" s="7" t="s">
        <v>42</v>
      </c>
      <c r="H11" s="97"/>
      <c r="I11" s="107" t="s">
        <v>48</v>
      </c>
      <c r="J11" s="98"/>
      <c r="K11" s="98" t="s">
        <v>68</v>
      </c>
      <c r="L11" s="99"/>
      <c r="M11" s="100" t="n">
        <v>1</v>
      </c>
      <c r="N11" s="99"/>
      <c r="O11" s="99"/>
      <c r="P11" s="99"/>
      <c r="Q11" s="99"/>
      <c r="R11" s="99"/>
      <c r="S11" s="99"/>
      <c r="T11" s="101" t="n">
        <v>1</v>
      </c>
      <c r="U11" s="102" t="n">
        <v>1</v>
      </c>
      <c r="V11" s="103"/>
      <c r="W11" s="110"/>
      <c r="AT11" s="2"/>
      <c r="AU11" s="163"/>
      <c r="AV11" s="105"/>
      <c r="AW11" s="94"/>
      <c r="AX11" s="95"/>
      <c r="AY11" s="95"/>
      <c r="AZ11" s="164"/>
      <c r="BB11" s="165"/>
      <c r="BC11" s="166"/>
      <c r="BD11" s="50"/>
      <c r="BE11" s="50"/>
      <c r="BF11" s="99"/>
      <c r="BG11" s="99"/>
      <c r="BH11" s="99"/>
      <c r="BI11" s="100"/>
      <c r="BJ11" s="99"/>
      <c r="BK11" s="99"/>
      <c r="BL11" s="100"/>
      <c r="BM11" s="99"/>
      <c r="BN11" s="101"/>
      <c r="BO11" s="108"/>
      <c r="BP11" s="167"/>
      <c r="BQ11" s="53"/>
      <c r="BR11" s="139" t="s">
        <v>44</v>
      </c>
      <c r="BS11" s="168" t="s">
        <v>69</v>
      </c>
      <c r="BT11" s="94" t="s">
        <v>36</v>
      </c>
      <c r="BU11" s="95" t="n">
        <f aca="false">0.5*(CC11+CD11+CE11)+CF11+CH11+2*(CI11+CJ11)</f>
        <v>17</v>
      </c>
      <c r="BV11" s="95" t="n">
        <f aca="false">CC11*0.5+CD11*0.5+CE11*0.5+CF11+CG11+CH11+2*(CI11+CJ11+CK11)</f>
        <v>17</v>
      </c>
      <c r="BW11" s="142"/>
      <c r="BX11" s="50" t="s">
        <v>70</v>
      </c>
      <c r="BY11" s="103"/>
      <c r="BZ11" s="7"/>
      <c r="CA11" s="143"/>
      <c r="CB11" s="98" t="s">
        <v>71</v>
      </c>
      <c r="CC11" s="133"/>
      <c r="CD11" s="50"/>
      <c r="CE11" s="50"/>
      <c r="CF11" s="100" t="n">
        <v>1</v>
      </c>
      <c r="CG11" s="50"/>
      <c r="CH11" s="50"/>
      <c r="CI11" s="100" t="n">
        <v>8</v>
      </c>
      <c r="CJ11" s="133"/>
      <c r="CK11" s="144"/>
      <c r="CL11" s="145" t="n">
        <v>1</v>
      </c>
      <c r="CM11" s="103"/>
      <c r="CN11" s="169"/>
      <c r="CO11" s="146" t="s">
        <v>59</v>
      </c>
      <c r="CP11" s="147" t="s">
        <v>72</v>
      </c>
      <c r="CQ11" s="118" t="s">
        <v>30</v>
      </c>
      <c r="CR11" s="118" t="n">
        <f aca="false">0.5*(CZ11+DA11+DB11)+DC11+DE11+2*(DF11+DG11)</f>
        <v>0</v>
      </c>
      <c r="CS11" s="118" t="n">
        <f aca="false">CZ11*0.5+DA11*0.5+DB11*0.5+DC11+DD11+DE11+2*(DF11+DG11+DH11)</f>
        <v>0</v>
      </c>
      <c r="CT11" s="170"/>
      <c r="CU11" s="7" t="s">
        <v>42</v>
      </c>
      <c r="CV11" s="171"/>
      <c r="CW11" s="149"/>
      <c r="CX11" s="149"/>
      <c r="CY11" s="149"/>
      <c r="CZ11" s="149"/>
      <c r="DA11" s="149"/>
      <c r="DB11" s="149"/>
      <c r="DC11" s="149"/>
      <c r="DD11" s="149"/>
      <c r="DE11" s="172"/>
      <c r="DF11" s="149"/>
      <c r="DG11" s="149"/>
      <c r="DH11" s="149"/>
      <c r="DI11" s="108" t="n">
        <v>1</v>
      </c>
      <c r="DJ11" s="151" t="s">
        <v>61</v>
      </c>
      <c r="DK11" s="126"/>
      <c r="DL11" s="126"/>
      <c r="DM11" s="126"/>
      <c r="DN11" s="126"/>
      <c r="DO11" s="126"/>
    </row>
    <row r="12" customFormat="false" ht="217.5" hidden="false" customHeight="true" outlineLevel="0" collapsed="false">
      <c r="A12" s="92" t="s">
        <v>40</v>
      </c>
      <c r="B12" s="173" t="s">
        <v>73</v>
      </c>
      <c r="C12" s="118" t="s">
        <v>30</v>
      </c>
      <c r="D12" s="95" t="n">
        <f aca="false">0.5*(L12+M12+N12)+O12+Q12+2*(R12+S12)</f>
        <v>1</v>
      </c>
      <c r="E12" s="95" t="n">
        <f aca="false">L12*0.5+M12*0.5+N12*0.5+O12+P12+Q12+2*(R12+S12+T12)</f>
        <v>3</v>
      </c>
      <c r="F12" s="96"/>
      <c r="G12" s="7" t="s">
        <v>42</v>
      </c>
      <c r="H12" s="103"/>
      <c r="I12" s="97"/>
      <c r="J12" s="98"/>
      <c r="K12" s="119" t="s">
        <v>74</v>
      </c>
      <c r="L12" s="99"/>
      <c r="M12" s="133"/>
      <c r="N12" s="99"/>
      <c r="O12" s="100" t="n">
        <v>1</v>
      </c>
      <c r="P12" s="99"/>
      <c r="Q12" s="99"/>
      <c r="R12" s="99"/>
      <c r="S12" s="174"/>
      <c r="T12" s="101" t="n">
        <v>1</v>
      </c>
      <c r="U12" s="175" t="n">
        <v>1</v>
      </c>
      <c r="V12" s="103"/>
      <c r="W12" s="2"/>
      <c r="AT12" s="2"/>
      <c r="AU12" s="163"/>
      <c r="AV12" s="105"/>
      <c r="AW12" s="118"/>
      <c r="AX12" s="95"/>
      <c r="AY12" s="95"/>
      <c r="AZ12" s="152"/>
      <c r="BB12" s="106"/>
      <c r="BC12" s="176"/>
      <c r="BD12" s="177"/>
      <c r="BE12" s="136"/>
      <c r="BF12" s="99"/>
      <c r="BG12" s="99"/>
      <c r="BH12" s="99"/>
      <c r="BI12" s="99"/>
      <c r="BJ12" s="99"/>
      <c r="BK12" s="99"/>
      <c r="BL12" s="99"/>
      <c r="BM12" s="99"/>
      <c r="BN12" s="99"/>
      <c r="BO12" s="108"/>
      <c r="BP12" s="109"/>
      <c r="BQ12" s="90"/>
      <c r="BR12" s="178" t="s">
        <v>75</v>
      </c>
      <c r="BS12" s="93" t="s">
        <v>76</v>
      </c>
      <c r="BT12" s="94" t="s">
        <v>77</v>
      </c>
      <c r="BU12" s="95" t="n">
        <f aca="false">0.5*(CC12+CD12+CE12)+CF12+CH12+2*(CI12+CJ12)</f>
        <v>6</v>
      </c>
      <c r="BV12" s="95" t="n">
        <f aca="false">CC12*0.5+CD12*0.5+CE12*0.5+CF12+CG12+CH12+2*(CI12+CJ12+CK12)</f>
        <v>8</v>
      </c>
      <c r="BW12" s="7" t="e">
        <f aca="false">#VALUE!</f>
        <v>#VALUE!</v>
      </c>
      <c r="BX12" s="7" t="s">
        <v>78</v>
      </c>
      <c r="BY12" s="179"/>
      <c r="BZ12" s="180" t="s">
        <v>48</v>
      </c>
      <c r="CA12" s="50"/>
      <c r="CB12" s="50" t="s">
        <v>79</v>
      </c>
      <c r="CC12" s="99"/>
      <c r="CD12" s="99"/>
      <c r="CE12" s="99"/>
      <c r="CF12" s="99"/>
      <c r="CG12" s="99"/>
      <c r="CH12" s="99"/>
      <c r="CI12" s="100" t="n">
        <v>3</v>
      </c>
      <c r="CJ12" s="99"/>
      <c r="CK12" s="181" t="n">
        <v>1</v>
      </c>
      <c r="CL12" s="108" t="n">
        <v>1</v>
      </c>
      <c r="CM12" s="151" t="s">
        <v>61</v>
      </c>
      <c r="CN12" s="182"/>
      <c r="CO12" s="146" t="s">
        <v>59</v>
      </c>
      <c r="CP12" s="183" t="s">
        <v>80</v>
      </c>
      <c r="CQ12" s="118" t="s">
        <v>30</v>
      </c>
      <c r="CR12" s="118" t="n">
        <f aca="false">0.5*(CZ12+DA12+DB12)+DC12+DE12+2*(DF12+DG12)</f>
        <v>0</v>
      </c>
      <c r="CS12" s="118" t="n">
        <f aca="false">CZ12*0.5+DA12*0.5+DB12*0.5+DC12+DD12+DE12+2*(DF12+DG12+DH12)</f>
        <v>0</v>
      </c>
      <c r="CT12" s="170"/>
      <c r="CU12" s="7" t="s">
        <v>42</v>
      </c>
      <c r="CV12" s="171"/>
      <c r="CW12" s="119"/>
      <c r="CX12" s="119"/>
      <c r="CY12" s="119"/>
      <c r="CZ12" s="119"/>
      <c r="DA12" s="119"/>
      <c r="DB12" s="119"/>
      <c r="DC12" s="119"/>
      <c r="DD12" s="119"/>
      <c r="DE12" s="119"/>
      <c r="DF12" s="119"/>
      <c r="DG12" s="119"/>
      <c r="DH12" s="119"/>
      <c r="DI12" s="125" t="n">
        <v>1</v>
      </c>
      <c r="DJ12" s="151" t="s">
        <v>61</v>
      </c>
      <c r="DK12" s="126"/>
      <c r="DL12" s="126"/>
      <c r="DM12" s="126"/>
      <c r="DN12" s="126"/>
      <c r="DO12" s="126"/>
    </row>
    <row r="13" customFormat="false" ht="222" hidden="false" customHeight="true" outlineLevel="0" collapsed="false">
      <c r="A13" s="92" t="s">
        <v>40</v>
      </c>
      <c r="B13" s="173" t="s">
        <v>81</v>
      </c>
      <c r="C13" s="118" t="s">
        <v>30</v>
      </c>
      <c r="D13" s="95" t="n">
        <f aca="false">0.5*(L13+M13+N13)+O13+Q13+2*(R13+S13)</f>
        <v>6</v>
      </c>
      <c r="E13" s="95" t="n">
        <f aca="false">L13*0.5+M13*0.5+N13*0.5+O13+P13+Q13+2*(R13+S13+T13)</f>
        <v>6</v>
      </c>
      <c r="F13" s="96"/>
      <c r="G13" s="7" t="s">
        <v>42</v>
      </c>
      <c r="H13" s="184"/>
      <c r="I13" s="97"/>
      <c r="J13" s="185" t="s">
        <v>14</v>
      </c>
      <c r="K13" s="119" t="s">
        <v>82</v>
      </c>
      <c r="L13" s="99"/>
      <c r="M13" s="133"/>
      <c r="N13" s="99"/>
      <c r="O13" s="99"/>
      <c r="P13" s="99"/>
      <c r="Q13" s="99"/>
      <c r="R13" s="100" t="n">
        <v>3</v>
      </c>
      <c r="S13" s="99"/>
      <c r="T13" s="99"/>
      <c r="U13" s="102" t="n">
        <v>1</v>
      </c>
      <c r="V13" s="186"/>
      <c r="W13" s="2"/>
      <c r="AT13" s="2"/>
      <c r="AU13" s="163"/>
      <c r="AV13" s="105"/>
      <c r="AW13" s="118"/>
      <c r="AX13" s="95"/>
      <c r="AY13" s="95"/>
      <c r="AZ13" s="152"/>
      <c r="BA13" s="187"/>
      <c r="BB13" s="188"/>
      <c r="BC13" s="107"/>
      <c r="BD13" s="168"/>
      <c r="BE13" s="50"/>
      <c r="BF13" s="99"/>
      <c r="BG13" s="99"/>
      <c r="BH13" s="99"/>
      <c r="BI13" s="99"/>
      <c r="BJ13" s="99"/>
      <c r="BK13" s="99"/>
      <c r="BL13" s="99"/>
      <c r="BM13" s="99"/>
      <c r="BN13" s="99"/>
      <c r="BO13" s="108"/>
      <c r="BP13" s="109"/>
      <c r="BQ13" s="157"/>
      <c r="BR13" s="163" t="s">
        <v>83</v>
      </c>
      <c r="BS13" s="105" t="s">
        <v>84</v>
      </c>
      <c r="BT13" s="94" t="s">
        <v>77</v>
      </c>
      <c r="BU13" s="95" t="n">
        <f aca="false">0.5*(CC13+CD13+CE13)+CF13+CH13+2*(CI13+CJ13)</f>
        <v>4</v>
      </c>
      <c r="BV13" s="95" t="n">
        <f aca="false">CC13*0.5+CD13*0.5+CE13*0.5+CF13+CG13+CH13+2*(CI13+CJ13+CK13)</f>
        <v>4</v>
      </c>
      <c r="BW13" s="189" t="s">
        <v>85</v>
      </c>
      <c r="BX13" s="189"/>
      <c r="BY13" s="189"/>
      <c r="BZ13" s="189"/>
      <c r="CA13" s="189"/>
      <c r="CB13" s="189"/>
      <c r="CC13" s="99"/>
      <c r="CD13" s="99"/>
      <c r="CE13" s="99"/>
      <c r="CF13" s="100" t="n">
        <v>4</v>
      </c>
      <c r="CG13" s="99"/>
      <c r="CH13" s="99"/>
      <c r="CI13" s="99"/>
      <c r="CJ13" s="99"/>
      <c r="CK13" s="99"/>
      <c r="CL13" s="108" t="n">
        <v>1</v>
      </c>
      <c r="CM13" s="154"/>
      <c r="CN13" s="157"/>
      <c r="CO13" s="190" t="s">
        <v>86</v>
      </c>
      <c r="CP13" s="183" t="s">
        <v>87</v>
      </c>
      <c r="CQ13" s="94" t="s">
        <v>30</v>
      </c>
      <c r="CR13" s="118" t="n">
        <f aca="false">0.5*(CZ13+DA13+DB13)+DC13+DE13+2*(DF13+DG13)</f>
        <v>0</v>
      </c>
      <c r="CS13" s="118" t="n">
        <f aca="false">CZ13*0.5+DA13*0.5+DB13*0.5+DC13+DD13+DE13+2*(DF13+DG13+DH13)</f>
        <v>0</v>
      </c>
      <c r="CT13" s="191"/>
      <c r="CU13" s="7" t="s">
        <v>42</v>
      </c>
      <c r="CV13" s="127"/>
      <c r="CW13" s="119"/>
      <c r="CX13" s="119"/>
      <c r="CY13" s="119" t="s">
        <v>88</v>
      </c>
      <c r="CZ13" s="121"/>
      <c r="DA13" s="121"/>
      <c r="DB13" s="121"/>
      <c r="DC13" s="121"/>
      <c r="DD13" s="121"/>
      <c r="DE13" s="121"/>
      <c r="DF13" s="121"/>
      <c r="DG13" s="121"/>
      <c r="DH13" s="121"/>
      <c r="DI13" s="125" t="n">
        <v>1</v>
      </c>
      <c r="DJ13" s="151" t="s">
        <v>89</v>
      </c>
      <c r="DK13" s="126"/>
      <c r="DL13" s="126"/>
      <c r="DM13" s="126"/>
      <c r="DN13" s="126"/>
      <c r="DO13" s="126"/>
    </row>
    <row r="14" customFormat="false" ht="223.5" hidden="false" customHeight="true" outlineLevel="0" collapsed="false">
      <c r="A14" s="92" t="s">
        <v>40</v>
      </c>
      <c r="B14" s="93" t="s">
        <v>90</v>
      </c>
      <c r="C14" s="94" t="s">
        <v>30</v>
      </c>
      <c r="D14" s="95" t="n">
        <f aca="false">0.5*(L14+M14+N14)+O14+Q14+2*(R14+S14)</f>
        <v>0</v>
      </c>
      <c r="E14" s="95" t="n">
        <f aca="false">L14*0.5+M14*0.5+N14*0.5+O14+P14+Q14+2*(R14+S14+T14)</f>
        <v>0</v>
      </c>
      <c r="F14" s="96"/>
      <c r="G14" s="7" t="s">
        <v>42</v>
      </c>
      <c r="H14" s="192"/>
      <c r="I14" s="193"/>
      <c r="J14" s="98"/>
      <c r="K14" s="98" t="s">
        <v>91</v>
      </c>
      <c r="L14" s="99"/>
      <c r="M14" s="99"/>
      <c r="N14" s="99"/>
      <c r="O14" s="99"/>
      <c r="P14" s="99"/>
      <c r="Q14" s="99"/>
      <c r="R14" s="99"/>
      <c r="S14" s="99"/>
      <c r="T14" s="99"/>
      <c r="U14" s="102" t="n">
        <v>1</v>
      </c>
      <c r="V14" s="194"/>
      <c r="W14" s="2"/>
      <c r="AT14" s="2"/>
      <c r="AU14" s="163"/>
      <c r="AV14" s="195"/>
      <c r="AW14" s="94"/>
      <c r="AX14" s="95"/>
      <c r="AY14" s="95"/>
      <c r="AZ14" s="50"/>
      <c r="BB14" s="97"/>
      <c r="BC14" s="7"/>
      <c r="BD14" s="185"/>
      <c r="BE14" s="98"/>
      <c r="BF14" s="196"/>
      <c r="BG14" s="196"/>
      <c r="BH14" s="196"/>
      <c r="BI14" s="133"/>
      <c r="BJ14" s="101"/>
      <c r="BK14" s="100"/>
      <c r="BL14" s="196"/>
      <c r="BM14" s="196"/>
      <c r="BN14" s="196"/>
      <c r="BO14" s="108"/>
      <c r="BP14" s="109"/>
      <c r="BQ14" s="169"/>
      <c r="CN14" s="110"/>
      <c r="CO14" s="190" t="s">
        <v>86</v>
      </c>
      <c r="CP14" s="147" t="s">
        <v>92</v>
      </c>
      <c r="CQ14" s="94" t="s">
        <v>30</v>
      </c>
      <c r="CR14" s="118" t="n">
        <f aca="false">0.5*(CZ14+DA14+DB14)+DC14+DE14+2*(DF14+DG14)</f>
        <v>0</v>
      </c>
      <c r="CS14" s="118" t="n">
        <f aca="false">CZ14*0.5+DA14*0.5+DB14*0.5+DC14+DD14+DE14+2*(DF14+DG14+DH14)</f>
        <v>0</v>
      </c>
      <c r="CT14" s="197"/>
      <c r="CU14" s="7" t="s">
        <v>42</v>
      </c>
      <c r="CV14" s="198"/>
      <c r="CW14" s="149"/>
      <c r="CX14" s="149"/>
      <c r="CY14" s="119" t="s">
        <v>88</v>
      </c>
      <c r="CZ14" s="129"/>
      <c r="DA14" s="129"/>
      <c r="DB14" s="129"/>
      <c r="DC14" s="129"/>
      <c r="DD14" s="129"/>
      <c r="DE14" s="129"/>
      <c r="DF14" s="129"/>
      <c r="DG14" s="129"/>
      <c r="DH14" s="129"/>
      <c r="DI14" s="108" t="n">
        <v>1</v>
      </c>
      <c r="DJ14" s="117"/>
      <c r="DK14" s="126"/>
      <c r="DL14" s="126"/>
      <c r="DM14" s="126"/>
      <c r="DN14" s="126"/>
      <c r="DO14" s="126"/>
    </row>
    <row r="15" customFormat="false" ht="238.5" hidden="false" customHeight="true" outlineLevel="0" collapsed="false">
      <c r="A15" s="92" t="s">
        <v>40</v>
      </c>
      <c r="B15" s="199" t="s">
        <v>93</v>
      </c>
      <c r="C15" s="118" t="s">
        <v>30</v>
      </c>
      <c r="D15" s="95" t="n">
        <f aca="false">0.5*(L15+M15+N15)+O15+Q15+2*(R15+S15)</f>
        <v>0</v>
      </c>
      <c r="E15" s="95" t="n">
        <f aca="false">L15*0.5+M15*0.5+N15*0.5+O15+P15+Q15+2*(R15+S15+T15)</f>
        <v>1</v>
      </c>
      <c r="F15" s="200"/>
      <c r="G15" s="7" t="s">
        <v>42</v>
      </c>
      <c r="H15" s="192"/>
      <c r="I15" s="201"/>
      <c r="J15" s="201"/>
      <c r="K15" s="119" t="s">
        <v>94</v>
      </c>
      <c r="L15" s="202"/>
      <c r="M15" s="202"/>
      <c r="N15" s="202"/>
      <c r="O15" s="202"/>
      <c r="P15" s="131" t="n">
        <v>1</v>
      </c>
      <c r="Q15" s="202"/>
      <c r="R15" s="133"/>
      <c r="S15" s="202"/>
      <c r="T15" s="202"/>
      <c r="U15" s="203" t="n">
        <v>1</v>
      </c>
      <c r="V15" s="204"/>
      <c r="W15" s="205"/>
      <c r="AT15" s="2"/>
      <c r="AU15" s="163"/>
      <c r="AV15" s="105"/>
      <c r="AW15" s="94"/>
      <c r="AX15" s="95"/>
      <c r="AY15" s="95"/>
      <c r="AZ15" s="206"/>
      <c r="BB15" s="149"/>
      <c r="BC15" s="103"/>
      <c r="BD15" s="103"/>
      <c r="BE15" s="50"/>
      <c r="BF15" s="99"/>
      <c r="BG15" s="99"/>
      <c r="BH15" s="99"/>
      <c r="BI15" s="99"/>
      <c r="BJ15" s="99"/>
      <c r="BK15" s="99"/>
      <c r="BL15" s="99"/>
      <c r="BM15" s="99"/>
      <c r="BN15" s="99"/>
      <c r="BO15" s="108"/>
      <c r="BP15" s="154"/>
      <c r="BQ15" s="182"/>
      <c r="CN15" s="90"/>
      <c r="DK15" s="126"/>
      <c r="DL15" s="126"/>
      <c r="DM15" s="126"/>
      <c r="DN15" s="126"/>
      <c r="DO15" s="126"/>
    </row>
    <row r="16" customFormat="false" ht="259.5" hidden="false" customHeight="true" outlineLevel="0" collapsed="false">
      <c r="W16" s="205"/>
      <c r="AT16" s="2"/>
      <c r="AU16" s="207"/>
      <c r="AV16" s="208"/>
      <c r="AW16" s="209"/>
      <c r="AX16" s="210"/>
      <c r="AY16" s="210"/>
      <c r="AZ16" s="211"/>
      <c r="BA16" s="212"/>
      <c r="BB16" s="213"/>
      <c r="BC16" s="214"/>
      <c r="BD16" s="215"/>
      <c r="BE16" s="216"/>
      <c r="BF16" s="217"/>
      <c r="BG16" s="217"/>
      <c r="BH16" s="217"/>
      <c r="BI16" s="218"/>
      <c r="BJ16" s="101"/>
      <c r="BK16" s="219"/>
      <c r="BL16" s="220"/>
      <c r="BM16" s="220"/>
      <c r="BN16" s="220"/>
      <c r="BO16" s="221"/>
      <c r="BP16" s="222"/>
      <c r="BQ16" s="157"/>
      <c r="CN16" s="90"/>
      <c r="CO16" s="2"/>
      <c r="CP16" s="205"/>
      <c r="CQ16" s="205"/>
      <c r="CR16" s="205"/>
      <c r="CS16" s="205"/>
      <c r="CT16" s="205"/>
      <c r="CU16" s="205"/>
      <c r="CV16" s="205"/>
      <c r="CW16" s="205"/>
      <c r="CX16" s="205"/>
      <c r="CY16" s="205"/>
      <c r="CZ16" s="205"/>
      <c r="DA16" s="205"/>
      <c r="DB16" s="205"/>
      <c r="DC16" s="205"/>
      <c r="DD16" s="205"/>
      <c r="DE16" s="205"/>
      <c r="DF16" s="205"/>
      <c r="DG16" s="205"/>
      <c r="DH16" s="205"/>
      <c r="DI16" s="205"/>
      <c r="DJ16" s="205"/>
      <c r="DK16" s="126"/>
      <c r="DL16" s="126"/>
      <c r="DM16" s="126"/>
      <c r="DN16" s="126"/>
      <c r="DO16" s="126"/>
    </row>
    <row r="17" customFormat="false" ht="234.75" hidden="false" customHeight="true" outlineLevel="0" collapsed="false">
      <c r="W17" s="205"/>
      <c r="AT17" s="2"/>
      <c r="AU17" s="207"/>
      <c r="AV17" s="223"/>
      <c r="AW17" s="209"/>
      <c r="AX17" s="210"/>
      <c r="AY17" s="210"/>
      <c r="AZ17" s="224"/>
      <c r="BA17" s="225"/>
      <c r="BB17" s="201"/>
      <c r="BC17" s="226"/>
      <c r="BD17" s="227"/>
      <c r="BE17" s="228"/>
      <c r="BF17" s="229"/>
      <c r="BG17" s="229"/>
      <c r="BH17" s="229"/>
      <c r="BI17" s="218"/>
      <c r="BJ17" s="229"/>
      <c r="BK17" s="219"/>
      <c r="BL17" s="229"/>
      <c r="BM17" s="229"/>
      <c r="BN17" s="229"/>
      <c r="BO17" s="221"/>
      <c r="BP17" s="230"/>
      <c r="BQ17" s="110"/>
      <c r="CN17" s="2"/>
      <c r="CO17" s="2"/>
      <c r="CP17" s="205"/>
      <c r="CQ17" s="205"/>
      <c r="CR17" s="205"/>
      <c r="CS17" s="205"/>
      <c r="CT17" s="205"/>
      <c r="CU17" s="205"/>
      <c r="CV17" s="205"/>
      <c r="CW17" s="205"/>
      <c r="CX17" s="205"/>
      <c r="CY17" s="205"/>
      <c r="CZ17" s="205"/>
      <c r="DA17" s="205"/>
      <c r="DB17" s="205"/>
      <c r="DC17" s="205"/>
      <c r="DD17" s="205"/>
      <c r="DE17" s="205"/>
      <c r="DF17" s="205"/>
      <c r="DG17" s="205"/>
      <c r="DH17" s="205"/>
      <c r="DI17" s="205"/>
      <c r="DJ17" s="205"/>
    </row>
    <row r="18" customFormat="false" ht="252.75" hidden="false" customHeight="true" outlineLevel="0" collapsed="false">
      <c r="W18" s="205"/>
      <c r="AT18" s="2"/>
      <c r="AU18" s="231"/>
      <c r="AV18" s="105"/>
      <c r="AW18" s="94"/>
      <c r="AX18" s="95"/>
      <c r="AY18" s="95"/>
      <c r="AZ18" s="96"/>
      <c r="BB18" s="106"/>
      <c r="BC18" s="107"/>
      <c r="BD18" s="168"/>
      <c r="BE18" s="50"/>
      <c r="BF18" s="100"/>
      <c r="BG18" s="99"/>
      <c r="BI18" s="99"/>
      <c r="BJ18" s="99"/>
      <c r="BK18" s="99"/>
      <c r="BL18" s="100"/>
      <c r="BM18" s="99"/>
      <c r="BN18" s="99"/>
      <c r="BO18" s="108"/>
      <c r="BP18" s="109"/>
      <c r="BQ18" s="90"/>
      <c r="CN18" s="2"/>
      <c r="CO18" s="2"/>
      <c r="CP18" s="205"/>
      <c r="CQ18" s="205"/>
      <c r="CR18" s="205"/>
      <c r="CS18" s="205"/>
      <c r="CT18" s="205"/>
      <c r="CU18" s="205"/>
      <c r="CV18" s="205"/>
      <c r="CW18" s="205"/>
      <c r="CX18" s="205"/>
      <c r="CY18" s="205"/>
      <c r="CZ18" s="205"/>
      <c r="DA18" s="205"/>
      <c r="DB18" s="205"/>
      <c r="DC18" s="205"/>
      <c r="DD18" s="205"/>
      <c r="DE18" s="205"/>
      <c r="DF18" s="205"/>
      <c r="DG18" s="205"/>
      <c r="DH18" s="205"/>
      <c r="DI18" s="205"/>
      <c r="DJ18" s="205"/>
    </row>
    <row r="19" customFormat="false" ht="279.75" hidden="false" customHeight="true" outlineLevel="0" collapsed="false">
      <c r="W19" s="205"/>
      <c r="X19" s="205"/>
      <c r="Z19" s="2"/>
      <c r="AA19" s="2"/>
      <c r="AB19" s="2"/>
      <c r="AC19" s="2"/>
      <c r="AF19" s="2"/>
      <c r="AG19" s="2"/>
      <c r="AI19" s="2"/>
      <c r="AJ19" s="2"/>
      <c r="AK19" s="2"/>
      <c r="AL19" s="2"/>
      <c r="AM19" s="2"/>
      <c r="AN19" s="2"/>
      <c r="AO19" s="2"/>
      <c r="AP19" s="2"/>
      <c r="AQ19" s="2"/>
      <c r="AT19" s="2"/>
      <c r="AU19" s="231"/>
      <c r="AV19" s="232"/>
      <c r="AW19" s="118"/>
      <c r="AX19" s="95"/>
      <c r="AY19" s="95"/>
      <c r="AZ19" s="233"/>
      <c r="BB19" s="233"/>
      <c r="BC19" s="107"/>
      <c r="BD19" s="233"/>
      <c r="BE19" s="234"/>
      <c r="BF19" s="235"/>
      <c r="BG19" s="235"/>
      <c r="BH19" s="235"/>
      <c r="BI19" s="235"/>
      <c r="BJ19" s="235"/>
      <c r="BK19" s="235"/>
      <c r="BL19" s="235"/>
      <c r="BM19" s="235"/>
      <c r="BN19" s="235"/>
      <c r="BO19" s="236"/>
      <c r="BP19" s="103"/>
      <c r="BQ19" s="90"/>
      <c r="CN19" s="2"/>
      <c r="CO19" s="205"/>
      <c r="CP19" s="205"/>
      <c r="CQ19" s="205"/>
      <c r="CR19" s="205"/>
      <c r="CS19" s="205"/>
      <c r="CT19" s="205"/>
      <c r="CU19" s="205"/>
      <c r="CV19" s="205"/>
      <c r="CW19" s="205"/>
      <c r="CX19" s="205"/>
      <c r="CY19" s="205"/>
      <c r="CZ19" s="205"/>
      <c r="DA19" s="205"/>
      <c r="DB19" s="205"/>
      <c r="DC19" s="205"/>
      <c r="DD19" s="205"/>
      <c r="DE19" s="205"/>
      <c r="DF19" s="205"/>
      <c r="DG19" s="205"/>
      <c r="DH19" s="205"/>
      <c r="DI19" s="205"/>
      <c r="DJ19" s="205"/>
    </row>
    <row r="20" customFormat="false" ht="191.25" hidden="false" customHeight="true" outlineLevel="0" collapsed="false">
      <c r="A20" s="205"/>
      <c r="B20" s="205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37"/>
      <c r="W20" s="205"/>
      <c r="AT20" s="2"/>
      <c r="AU20" s="231"/>
      <c r="AV20" s="232"/>
      <c r="AW20" s="118"/>
      <c r="AX20" s="95"/>
      <c r="AY20" s="95"/>
      <c r="AZ20" s="238"/>
      <c r="BA20" s="238"/>
      <c r="BB20" s="238"/>
      <c r="BC20" s="238"/>
      <c r="BD20" s="238"/>
      <c r="BE20" s="238"/>
      <c r="BF20" s="235"/>
      <c r="BG20" s="235"/>
      <c r="BH20" s="235"/>
      <c r="BI20" s="100"/>
      <c r="BJ20" s="235"/>
      <c r="BK20" s="235"/>
      <c r="BL20" s="100"/>
      <c r="BM20" s="235"/>
      <c r="BN20" s="235"/>
      <c r="BO20" s="236"/>
      <c r="BP20" s="103"/>
      <c r="BQ20" s="90"/>
      <c r="CN20" s="205"/>
      <c r="CO20" s="205"/>
      <c r="CP20" s="205"/>
      <c r="CQ20" s="205"/>
      <c r="CR20" s="205"/>
      <c r="CS20" s="205"/>
      <c r="CT20" s="205"/>
      <c r="CU20" s="205"/>
      <c r="CV20" s="205"/>
      <c r="CW20" s="205"/>
      <c r="CX20" s="205"/>
      <c r="CY20" s="205"/>
      <c r="CZ20" s="205"/>
      <c r="DA20" s="205"/>
      <c r="DB20" s="205"/>
      <c r="DC20" s="205"/>
      <c r="DD20" s="205"/>
      <c r="DE20" s="205"/>
      <c r="DF20" s="205"/>
      <c r="DG20" s="205"/>
      <c r="DH20" s="205"/>
      <c r="DI20" s="205"/>
      <c r="DJ20" s="205"/>
    </row>
    <row r="21" customFormat="false" ht="277.5" hidden="false" customHeight="true" outlineLevel="0" collapsed="false">
      <c r="A21" s="205"/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AT21" s="2"/>
      <c r="AU21" s="2"/>
      <c r="AW21" s="2"/>
      <c r="AX21" s="2"/>
      <c r="AY21" s="2"/>
      <c r="AZ21" s="2"/>
      <c r="BA21" s="2"/>
      <c r="BB21" s="2"/>
      <c r="BC21" s="2"/>
      <c r="BD21" s="2"/>
      <c r="BF21" s="2"/>
      <c r="BG21" s="2"/>
      <c r="BH21" s="2"/>
      <c r="BI21" s="2"/>
      <c r="BJ21" s="2"/>
      <c r="BK21" s="2"/>
      <c r="BL21" s="2"/>
      <c r="BM21" s="2"/>
      <c r="BN21" s="2"/>
      <c r="BQ21" s="90"/>
      <c r="CN21" s="205"/>
      <c r="CO21" s="205"/>
      <c r="CP21" s="205"/>
      <c r="CQ21" s="205"/>
      <c r="CR21" s="205"/>
      <c r="CS21" s="205"/>
      <c r="CT21" s="205"/>
      <c r="CU21" s="205"/>
      <c r="CV21" s="205"/>
      <c r="CW21" s="205"/>
      <c r="CX21" s="205"/>
      <c r="CY21" s="205"/>
      <c r="CZ21" s="205"/>
      <c r="DA21" s="205"/>
      <c r="DB21" s="205"/>
      <c r="DC21" s="205"/>
      <c r="DD21" s="205"/>
      <c r="DE21" s="205"/>
      <c r="DF21" s="205"/>
      <c r="DG21" s="205"/>
      <c r="DH21" s="205"/>
      <c r="DI21" s="205"/>
      <c r="DJ21" s="205"/>
    </row>
    <row r="22" customFormat="false" ht="320.25" hidden="false" customHeight="true" outlineLevel="0" collapsed="false">
      <c r="A22" s="20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AT22" s="2"/>
      <c r="AU22" s="2"/>
      <c r="AW22" s="2"/>
      <c r="AX22" s="2"/>
      <c r="AY22" s="2"/>
      <c r="AZ22" s="2"/>
      <c r="BA22" s="2"/>
      <c r="BB22" s="2"/>
      <c r="BC22" s="2"/>
      <c r="BD22" s="2"/>
      <c r="BF22" s="2"/>
      <c r="BG22" s="2"/>
      <c r="BH22" s="2"/>
      <c r="BI22" s="2"/>
      <c r="BJ22" s="2"/>
      <c r="BK22" s="2"/>
      <c r="BL22" s="2"/>
      <c r="BM22" s="2"/>
      <c r="BN22" s="2"/>
      <c r="BQ22" s="90"/>
      <c r="CN22" s="205"/>
      <c r="CO22" s="205"/>
      <c r="CP22" s="205"/>
      <c r="CQ22" s="205"/>
      <c r="CR22" s="205"/>
      <c r="CS22" s="205"/>
      <c r="CT22" s="205"/>
      <c r="CU22" s="205"/>
      <c r="CV22" s="205"/>
      <c r="CW22" s="205"/>
      <c r="CX22" s="205"/>
      <c r="CY22" s="205"/>
      <c r="CZ22" s="205"/>
      <c r="DA22" s="205"/>
      <c r="DB22" s="205"/>
      <c r="DC22" s="205"/>
      <c r="DD22" s="205"/>
      <c r="DE22" s="205"/>
      <c r="DF22" s="205"/>
      <c r="DG22" s="205"/>
      <c r="DH22" s="205"/>
      <c r="DI22" s="205"/>
      <c r="DJ22" s="205"/>
    </row>
    <row r="23" customFormat="false" ht="261" hidden="false" customHeight="true" outlineLevel="0" collapsed="false">
      <c r="A23" s="205"/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AT23" s="205"/>
      <c r="AU23" s="2"/>
      <c r="AW23" s="2"/>
      <c r="AX23" s="2"/>
      <c r="AY23" s="2"/>
      <c r="AZ23" s="2"/>
      <c r="BA23" s="2"/>
      <c r="BB23" s="2"/>
      <c r="BC23" s="2"/>
      <c r="BD23" s="2"/>
      <c r="BF23" s="2"/>
      <c r="BG23" s="2"/>
      <c r="BH23" s="2"/>
      <c r="BI23" s="2"/>
      <c r="BJ23" s="2"/>
      <c r="BK23" s="2"/>
      <c r="BL23" s="2"/>
      <c r="BM23" s="2"/>
      <c r="BN23" s="2"/>
      <c r="BQ23" s="90"/>
      <c r="CN23" s="205"/>
      <c r="CO23" s="2"/>
      <c r="CP23" s="205"/>
      <c r="CQ23" s="205"/>
      <c r="CR23" s="205"/>
      <c r="CS23" s="205"/>
      <c r="CT23" s="205"/>
      <c r="CU23" s="205"/>
      <c r="CV23" s="205"/>
      <c r="CW23" s="205"/>
      <c r="CX23" s="205"/>
      <c r="CY23" s="205"/>
      <c r="CZ23" s="205"/>
      <c r="DA23" s="205"/>
      <c r="DB23" s="205"/>
      <c r="DC23" s="205"/>
      <c r="DD23" s="205"/>
      <c r="DE23" s="205"/>
      <c r="DF23" s="205"/>
      <c r="DG23" s="205"/>
      <c r="DH23" s="205"/>
      <c r="DI23" s="205"/>
      <c r="DJ23" s="205"/>
    </row>
    <row r="24" customFormat="false" ht="249" hidden="false" customHeight="true" outlineLevel="0" collapsed="false">
      <c r="A24" s="20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AT24" s="2"/>
      <c r="AU24" s="2"/>
      <c r="AW24" s="2"/>
      <c r="AX24" s="2"/>
      <c r="AY24" s="2"/>
      <c r="AZ24" s="2"/>
      <c r="BA24" s="2"/>
      <c r="BB24" s="2"/>
      <c r="BC24" s="2"/>
      <c r="BD24" s="2"/>
      <c r="BF24" s="2"/>
      <c r="BG24" s="2"/>
      <c r="BH24" s="2"/>
      <c r="BI24" s="2"/>
      <c r="BJ24" s="2"/>
      <c r="BK24" s="2"/>
      <c r="BL24" s="2"/>
      <c r="BM24" s="2"/>
      <c r="BN24" s="2"/>
      <c r="BQ24" s="2"/>
      <c r="CN24" s="2"/>
      <c r="CO24" s="2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205"/>
      <c r="DJ24" s="205"/>
    </row>
    <row r="25" customFormat="false" ht="22.5" hidden="false" customHeight="false" outlineLevel="0" collapsed="false">
      <c r="A25" s="205"/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AT25" s="2"/>
      <c r="AU25" s="2"/>
      <c r="AW25" s="2"/>
      <c r="AX25" s="2"/>
      <c r="AY25" s="2"/>
      <c r="AZ25" s="2"/>
      <c r="BA25" s="2"/>
      <c r="BB25" s="2"/>
      <c r="BC25" s="2"/>
      <c r="BD25" s="2"/>
      <c r="BF25" s="2"/>
      <c r="BG25" s="2"/>
      <c r="BH25" s="2"/>
      <c r="BI25" s="2"/>
      <c r="BJ25" s="2"/>
      <c r="BK25" s="2"/>
      <c r="BL25" s="2"/>
      <c r="BM25" s="2"/>
      <c r="BN25" s="2"/>
      <c r="BQ25" s="2"/>
      <c r="BR25" s="205"/>
      <c r="BS25" s="205"/>
      <c r="BT25" s="205"/>
      <c r="BU25" s="205"/>
      <c r="BV25" s="205"/>
      <c r="BW25" s="205"/>
      <c r="BX25" s="205"/>
      <c r="BY25" s="205"/>
      <c r="BZ25" s="205"/>
      <c r="CA25" s="205"/>
      <c r="CB25" s="205"/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"/>
      <c r="CO25" s="2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205"/>
      <c r="DJ25" s="205"/>
    </row>
    <row r="26" customFormat="false" ht="209.25" hidden="false" customHeight="true" outlineLevel="0" collapsed="false">
      <c r="A26" s="205"/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AT26" s="2"/>
      <c r="AU26" s="2"/>
      <c r="AW26" s="2"/>
      <c r="AX26" s="2"/>
      <c r="AY26" s="2"/>
      <c r="AZ26" s="2"/>
      <c r="BA26" s="2"/>
      <c r="BB26" s="2"/>
      <c r="BC26" s="2"/>
      <c r="BD26" s="2"/>
      <c r="BF26" s="2"/>
      <c r="BG26" s="2"/>
      <c r="BH26" s="2"/>
      <c r="BI26" s="2"/>
      <c r="BJ26" s="2"/>
      <c r="BK26" s="2"/>
      <c r="BL26" s="2"/>
      <c r="BM26" s="2"/>
      <c r="BN26" s="2"/>
      <c r="BQ26" s="2"/>
      <c r="BR26" s="205"/>
      <c r="BS26" s="205"/>
      <c r="BT26" s="205"/>
      <c r="BU26" s="205"/>
      <c r="BV26" s="205"/>
      <c r="BW26" s="205"/>
      <c r="BX26" s="205"/>
      <c r="BY26" s="205"/>
      <c r="BZ26" s="205"/>
      <c r="CA26" s="205"/>
      <c r="CB26" s="205"/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"/>
      <c r="CO26" s="2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205"/>
      <c r="DJ26" s="205"/>
    </row>
    <row r="27" customFormat="false" ht="22.5" hidden="false" customHeight="false" outlineLevel="0" collapsed="false">
      <c r="A27" s="205"/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AT27" s="2"/>
      <c r="AU27" s="2"/>
      <c r="AW27" s="2"/>
      <c r="AX27" s="2"/>
      <c r="AY27" s="2"/>
      <c r="AZ27" s="2"/>
      <c r="BA27" s="2"/>
      <c r="BB27" s="2"/>
      <c r="BC27" s="2"/>
      <c r="BD27" s="2"/>
      <c r="BF27" s="2"/>
      <c r="BG27" s="2"/>
      <c r="BH27" s="2"/>
      <c r="BI27" s="2"/>
      <c r="BJ27" s="2"/>
      <c r="BK27" s="2"/>
      <c r="BL27" s="2"/>
      <c r="BM27" s="2"/>
      <c r="BN27" s="2"/>
      <c r="BQ27" s="2"/>
      <c r="BR27" s="205"/>
      <c r="BS27" s="205"/>
      <c r="BT27" s="205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"/>
      <c r="CO27" s="2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205"/>
      <c r="DJ27" s="205"/>
    </row>
    <row r="28" customFormat="false" ht="22.5" hidden="false" customHeight="false" outlineLevel="0" collapsed="false">
      <c r="A28" s="205"/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AT28" s="2"/>
      <c r="AU28" s="2"/>
      <c r="AW28" s="2"/>
      <c r="AX28" s="2"/>
      <c r="AY28" s="2"/>
      <c r="AZ28" s="2"/>
      <c r="BA28" s="2"/>
      <c r="BB28" s="2"/>
      <c r="BC28" s="2"/>
      <c r="BD28" s="2"/>
      <c r="BF28" s="2"/>
      <c r="BG28" s="2"/>
      <c r="BH28" s="2"/>
      <c r="BI28" s="2"/>
      <c r="BJ28" s="2"/>
      <c r="BK28" s="2"/>
      <c r="BL28" s="2"/>
      <c r="BM28" s="2"/>
      <c r="BN28" s="2"/>
      <c r="BQ28" s="2"/>
      <c r="BR28" s="205"/>
      <c r="BS28" s="205"/>
      <c r="BT28" s="205"/>
      <c r="BU28" s="205"/>
      <c r="BV28" s="205"/>
      <c r="BW28" s="205"/>
      <c r="BX28" s="205"/>
      <c r="BY28" s="205"/>
      <c r="BZ28" s="205"/>
      <c r="CA28" s="205"/>
      <c r="CB28" s="205"/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"/>
      <c r="CO28" s="2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205"/>
      <c r="DJ28" s="205"/>
    </row>
    <row r="29" customFormat="false" ht="22.5" hidden="false" customHeight="false" outlineLevel="0" collapsed="false">
      <c r="A29" s="205"/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AT29" s="2"/>
      <c r="AU29" s="2"/>
      <c r="AW29" s="2"/>
      <c r="AX29" s="2"/>
      <c r="AY29" s="2"/>
      <c r="AZ29" s="2"/>
      <c r="BA29" s="2"/>
      <c r="BB29" s="2"/>
      <c r="BC29" s="2"/>
      <c r="BD29" s="2"/>
      <c r="BF29" s="2"/>
      <c r="BG29" s="2"/>
      <c r="BH29" s="2"/>
      <c r="BI29" s="2"/>
      <c r="BJ29" s="2"/>
      <c r="BK29" s="2"/>
      <c r="BL29" s="2"/>
      <c r="BM29" s="2"/>
      <c r="BN29" s="2"/>
      <c r="BQ29" s="2"/>
      <c r="BR29" s="205"/>
      <c r="BS29" s="205"/>
      <c r="BT29" s="205"/>
      <c r="BU29" s="205"/>
      <c r="BV29" s="205"/>
      <c r="BW29" s="205"/>
      <c r="BX29" s="205"/>
      <c r="BY29" s="205"/>
      <c r="BZ29" s="205"/>
      <c r="CA29" s="205"/>
      <c r="CB29" s="205"/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"/>
      <c r="CO29" s="2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205"/>
      <c r="DJ29" s="205"/>
    </row>
    <row r="30" customFormat="false" ht="22.5" hidden="false" customHeight="false" outlineLevel="0" collapsed="false">
      <c r="A30" s="205"/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AT30" s="2"/>
      <c r="AU30" s="2"/>
      <c r="AW30" s="2"/>
      <c r="AX30" s="2"/>
      <c r="AY30" s="2"/>
      <c r="AZ30" s="2"/>
      <c r="BA30" s="2"/>
      <c r="BB30" s="2"/>
      <c r="BC30" s="2"/>
      <c r="BD30" s="2"/>
      <c r="BF30" s="2"/>
      <c r="BG30" s="2"/>
      <c r="BH30" s="2"/>
      <c r="BI30" s="2"/>
      <c r="BJ30" s="2"/>
      <c r="BK30" s="2"/>
      <c r="BL30" s="2"/>
      <c r="BM30" s="2"/>
      <c r="BN30" s="2"/>
      <c r="BQ30" s="2"/>
      <c r="BR30" s="205"/>
      <c r="BS30" s="205"/>
      <c r="BT30" s="205"/>
      <c r="BU30" s="205"/>
      <c r="BV30" s="205"/>
      <c r="BW30" s="205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"/>
      <c r="CO30" s="2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205"/>
      <c r="DJ30" s="205"/>
    </row>
    <row r="31" customFormat="false" ht="22.5" hidden="false" customHeight="false" outlineLevel="0" collapsed="false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AT31" s="2"/>
      <c r="AU31" s="205"/>
      <c r="AW31" s="2"/>
      <c r="AX31" s="2"/>
      <c r="AY31" s="2"/>
      <c r="AZ31" s="2"/>
      <c r="BA31" s="2"/>
      <c r="BB31" s="2"/>
      <c r="BC31" s="2"/>
      <c r="BD31" s="2"/>
      <c r="BF31" s="2"/>
      <c r="BG31" s="2"/>
      <c r="BH31" s="2"/>
      <c r="BI31" s="2"/>
      <c r="BJ31" s="2"/>
      <c r="BK31" s="2"/>
      <c r="BL31" s="2"/>
      <c r="BM31" s="2"/>
      <c r="BN31" s="2"/>
      <c r="BQ31" s="2"/>
      <c r="BR31" s="205"/>
      <c r="BS31" s="205"/>
      <c r="BT31" s="205"/>
      <c r="BU31" s="205"/>
      <c r="BV31" s="205"/>
      <c r="BW31" s="205"/>
      <c r="BX31" s="205"/>
      <c r="BY31" s="205"/>
      <c r="BZ31" s="205"/>
      <c r="CA31" s="205"/>
      <c r="CB31" s="205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"/>
      <c r="CO31" s="2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205"/>
      <c r="DJ31" s="205"/>
    </row>
    <row r="32" customFormat="false" ht="22.5" hidden="false" customHeight="false" outlineLevel="0" collapsed="false">
      <c r="A32" s="205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AT32" s="2"/>
      <c r="AU32" s="205"/>
      <c r="AW32" s="2"/>
      <c r="AX32" s="2"/>
      <c r="AY32" s="2"/>
      <c r="AZ32" s="2"/>
      <c r="BA32" s="2"/>
      <c r="BB32" s="2"/>
      <c r="BC32" s="2"/>
      <c r="BD32" s="2"/>
      <c r="BF32" s="2"/>
      <c r="BG32" s="2"/>
      <c r="BH32" s="2"/>
      <c r="BI32" s="2"/>
      <c r="BJ32" s="2"/>
      <c r="BK32" s="2"/>
      <c r="BL32" s="2"/>
      <c r="BM32" s="2"/>
      <c r="BN32" s="2"/>
      <c r="BQ32" s="2"/>
      <c r="BR32" s="205"/>
      <c r="BS32" s="205"/>
      <c r="BT32" s="205"/>
      <c r="BU32" s="205"/>
      <c r="BV32" s="205"/>
      <c r="BW32" s="205"/>
      <c r="BX32" s="205"/>
      <c r="BY32" s="205"/>
      <c r="BZ32" s="205"/>
      <c r="CA32" s="205"/>
      <c r="CB32" s="205"/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"/>
      <c r="CO32" s="2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205"/>
      <c r="DJ32" s="205"/>
    </row>
    <row r="33" customFormat="false" ht="22.5" hidden="false" customHeight="false" outlineLevel="0" collapsed="false">
      <c r="A33" s="205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AT33" s="2"/>
      <c r="AU33" s="205"/>
      <c r="AV33" s="239"/>
      <c r="AW33" s="205"/>
      <c r="AX33" s="240"/>
      <c r="AY33" s="240"/>
      <c r="AZ33" s="205"/>
      <c r="BA33" s="241"/>
      <c r="BB33" s="205"/>
      <c r="BC33" s="205"/>
      <c r="BD33" s="205"/>
      <c r="BE33" s="241"/>
      <c r="BF33" s="205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"/>
      <c r="BR33" s="205"/>
      <c r="BS33" s="205"/>
      <c r="BT33" s="205"/>
      <c r="BU33" s="205"/>
      <c r="BV33" s="205"/>
      <c r="BW33" s="205"/>
      <c r="BX33" s="205"/>
      <c r="BY33" s="205"/>
      <c r="BZ33" s="205"/>
      <c r="CA33" s="205"/>
      <c r="CB33" s="205"/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"/>
      <c r="CO33" s="2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205"/>
      <c r="DJ33" s="205"/>
    </row>
    <row r="34" customFormat="false" ht="22.5" hidden="false" customHeight="false" outlineLevel="0" collapsed="false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AT34" s="2"/>
      <c r="AU34" s="205"/>
      <c r="AV34" s="239"/>
      <c r="AW34" s="205"/>
      <c r="AX34" s="240"/>
      <c r="AY34" s="240"/>
      <c r="AZ34" s="205"/>
      <c r="BA34" s="241"/>
      <c r="BB34" s="205"/>
      <c r="BC34" s="205"/>
      <c r="BD34" s="205"/>
      <c r="BE34" s="241"/>
      <c r="BF34" s="205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"/>
      <c r="BR34" s="205"/>
      <c r="BS34" s="205"/>
      <c r="BT34" s="205"/>
      <c r="BU34" s="205"/>
      <c r="BV34" s="205"/>
      <c r="BW34" s="205"/>
      <c r="BX34" s="205"/>
      <c r="BY34" s="205"/>
      <c r="BZ34" s="205"/>
      <c r="CA34" s="205"/>
      <c r="CB34" s="205"/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"/>
      <c r="CO34" s="2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205"/>
      <c r="DJ34" s="205"/>
    </row>
    <row r="35" customFormat="false" ht="179.25" hidden="false" customHeight="true" outlineLevel="0" collapsed="false">
      <c r="A35" s="205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AT35" s="2"/>
      <c r="AU35" s="205"/>
      <c r="AV35" s="239"/>
      <c r="AW35" s="205"/>
      <c r="AX35" s="240"/>
      <c r="AY35" s="240"/>
      <c r="AZ35" s="205"/>
      <c r="BA35" s="241"/>
      <c r="BB35" s="205"/>
      <c r="BC35" s="205"/>
      <c r="BD35" s="205"/>
      <c r="BE35" s="241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"/>
      <c r="CO35" s="2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205"/>
      <c r="DJ35" s="205"/>
    </row>
    <row r="36" customFormat="false" ht="22.5" hidden="false" customHeight="false" outlineLevel="0" collapsed="false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AT36" s="205"/>
      <c r="AU36" s="205"/>
      <c r="AV36" s="239"/>
      <c r="AW36" s="205"/>
      <c r="AX36" s="240"/>
      <c r="AY36" s="240"/>
      <c r="AZ36" s="205"/>
      <c r="BA36" s="241"/>
      <c r="BB36" s="205"/>
      <c r="BC36" s="205"/>
      <c r="BD36" s="205"/>
      <c r="BE36" s="241"/>
      <c r="BF36" s="205"/>
      <c r="BG36" s="205"/>
      <c r="BH36" s="205"/>
      <c r="BI36" s="205"/>
      <c r="BJ36" s="205"/>
      <c r="BK36" s="205"/>
      <c r="BL36" s="205"/>
      <c r="BM36" s="205"/>
      <c r="BN36" s="205"/>
      <c r="BO36" s="205"/>
      <c r="BP36" s="205"/>
      <c r="BQ36" s="205"/>
      <c r="BR36" s="205"/>
      <c r="BS36" s="205"/>
      <c r="BT36" s="205"/>
      <c r="BU36" s="205"/>
      <c r="BV36" s="205"/>
      <c r="BW36" s="205"/>
      <c r="BX36" s="205"/>
      <c r="BY36" s="205"/>
      <c r="BZ36" s="205"/>
      <c r="CA36" s="205"/>
      <c r="CB36" s="205"/>
      <c r="CC36" s="205"/>
      <c r="CD36" s="205"/>
      <c r="CE36" s="205"/>
      <c r="CF36" s="205"/>
      <c r="CG36" s="205"/>
      <c r="CH36" s="205"/>
      <c r="CI36" s="205"/>
      <c r="CJ36" s="205"/>
      <c r="CK36" s="205"/>
      <c r="CL36" s="205"/>
      <c r="CM36" s="205"/>
      <c r="CN36" s="205"/>
      <c r="CO36" s="205"/>
      <c r="CP36" s="205"/>
      <c r="CQ36" s="205"/>
      <c r="CR36" s="205"/>
      <c r="CS36" s="205"/>
      <c r="CT36" s="205"/>
      <c r="CU36" s="205"/>
      <c r="CV36" s="205"/>
      <c r="CW36" s="205"/>
      <c r="CX36" s="205"/>
      <c r="CY36" s="205"/>
      <c r="CZ36" s="205"/>
      <c r="DA36" s="205"/>
      <c r="DB36" s="205"/>
      <c r="DC36" s="205"/>
      <c r="DD36" s="205"/>
      <c r="DE36" s="205"/>
      <c r="DF36" s="205"/>
      <c r="DG36" s="205"/>
      <c r="DH36" s="205"/>
      <c r="DI36" s="205"/>
      <c r="DJ36" s="205"/>
    </row>
    <row r="37" customFormat="false" ht="22.5" hidden="false" customHeight="false" outlineLevel="0" collapsed="false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AT37" s="205"/>
      <c r="AU37" s="205"/>
      <c r="AV37" s="239"/>
      <c r="AW37" s="205"/>
      <c r="AX37" s="240"/>
      <c r="AY37" s="240"/>
      <c r="AZ37" s="205"/>
      <c r="BA37" s="241"/>
      <c r="BB37" s="205"/>
      <c r="BC37" s="205"/>
      <c r="BD37" s="205"/>
      <c r="BE37" s="241"/>
      <c r="BF37" s="205"/>
      <c r="BG37" s="205"/>
      <c r="BH37" s="205"/>
      <c r="BI37" s="205"/>
      <c r="BJ37" s="205"/>
      <c r="BK37" s="205"/>
      <c r="BL37" s="205"/>
      <c r="BM37" s="205"/>
      <c r="BN37" s="205"/>
      <c r="BO37" s="205"/>
      <c r="BP37" s="205"/>
      <c r="BQ37" s="205"/>
      <c r="BR37" s="205"/>
      <c r="BS37" s="205"/>
      <c r="BT37" s="205"/>
      <c r="BU37" s="240"/>
      <c r="BV37" s="240"/>
      <c r="BW37" s="205"/>
      <c r="BX37" s="241"/>
      <c r="BY37" s="205"/>
      <c r="BZ37" s="205"/>
      <c r="CA37" s="205"/>
      <c r="CB37" s="241"/>
      <c r="CC37" s="205"/>
      <c r="CD37" s="205"/>
      <c r="CE37" s="205"/>
      <c r="CF37" s="205"/>
      <c r="CG37" s="205"/>
      <c r="CH37" s="205"/>
      <c r="CI37" s="205"/>
      <c r="CJ37" s="205"/>
      <c r="CK37" s="205"/>
      <c r="CL37" s="205"/>
      <c r="CM37" s="205"/>
      <c r="CN37" s="205"/>
      <c r="CO37" s="205"/>
      <c r="CP37" s="205"/>
      <c r="CQ37" s="205"/>
      <c r="CR37" s="205"/>
      <c r="CS37" s="205"/>
      <c r="CT37" s="205"/>
      <c r="CU37" s="205"/>
      <c r="CV37" s="205"/>
      <c r="CW37" s="205"/>
      <c r="CX37" s="205"/>
      <c r="CY37" s="205"/>
      <c r="CZ37" s="205"/>
      <c r="DA37" s="205"/>
      <c r="DB37" s="205"/>
      <c r="DC37" s="205"/>
      <c r="DD37" s="205"/>
      <c r="DE37" s="205"/>
      <c r="DF37" s="205"/>
      <c r="DG37" s="205"/>
      <c r="DH37" s="205"/>
      <c r="DI37" s="205"/>
      <c r="DJ37" s="205"/>
    </row>
    <row r="38" customFormat="false" ht="22.5" hidden="false" customHeight="false" outlineLevel="0" collapsed="false">
      <c r="A38" s="64"/>
      <c r="B38" s="64"/>
      <c r="C38" s="64"/>
      <c r="D38" s="242"/>
      <c r="E38" s="242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AT38" s="64"/>
      <c r="AU38" s="64"/>
      <c r="AV38" s="243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</row>
    <row r="39" customFormat="false" ht="45" hidden="false" customHeight="true" outlineLevel="0" collapsed="false">
      <c r="A39" s="69" t="s">
        <v>33</v>
      </c>
      <c r="B39" s="244"/>
      <c r="C39" s="71" t="s">
        <v>30</v>
      </c>
      <c r="D39" s="72" t="n">
        <f aca="false">0.5*(L39+M39+N39)+O39+Q39+2*(R39+S39)</f>
        <v>0</v>
      </c>
      <c r="E39" s="73" t="n">
        <f aca="false">L39*0.5+M39*0.5+N39*0.5+O39+P39+Q39+2*(R39+S39+T39)</f>
        <v>0</v>
      </c>
      <c r="F39" s="70"/>
      <c r="G39" s="70"/>
      <c r="H39" s="70"/>
      <c r="I39" s="70"/>
      <c r="J39" s="70"/>
      <c r="K39" s="70"/>
      <c r="L39" s="74" t="n">
        <f aca="false">SUMIFS(L55:L65,C55:C65,C39)</f>
        <v>0</v>
      </c>
      <c r="M39" s="74" t="n">
        <f aca="false">SUMIFS(M55:M65,C55:C65,C39)</f>
        <v>0</v>
      </c>
      <c r="N39" s="74" t="n">
        <f aca="false">SUMIFS(N55:N65,C55:C65,C39)</f>
        <v>0</v>
      </c>
      <c r="O39" s="74" t="n">
        <f aca="false">SUMIFS(O55:O65,C55:C65,C39)</f>
        <v>0</v>
      </c>
      <c r="P39" s="74" t="n">
        <f aca="false">SUMIFS(P55:P65,C55:C65,C39)</f>
        <v>0</v>
      </c>
      <c r="Q39" s="74" t="n">
        <f aca="false">SUMIFS(Q55:Q65,C55:C65,C39)</f>
        <v>0</v>
      </c>
      <c r="R39" s="74" t="n">
        <f aca="false">SUMIFS(R55:R65,C55:C65,C39)</f>
        <v>0</v>
      </c>
      <c r="S39" s="74" t="n">
        <f aca="false">SUMIFS(S55:S65,C55:C65,C39)</f>
        <v>0</v>
      </c>
      <c r="T39" s="74" t="n">
        <f aca="false">SUMIFS(T55:T65,C55:C65,C39)</f>
        <v>0</v>
      </c>
      <c r="U39" s="75"/>
      <c r="V39" s="76" t="n">
        <f aca="false">SUM(U41:U64)</f>
        <v>13</v>
      </c>
      <c r="W39" s="90"/>
      <c r="AT39" s="90"/>
      <c r="AU39" s="69" t="s">
        <v>33</v>
      </c>
      <c r="AV39" s="244" t="s">
        <v>95</v>
      </c>
      <c r="AW39" s="71" t="s">
        <v>30</v>
      </c>
      <c r="AX39" s="72" t="n">
        <f aca="false">0.5*(BF39+BG39+BH39)+BI39+BK39+2*(BL39+BM39)</f>
        <v>6</v>
      </c>
      <c r="AY39" s="73" t="n">
        <f aca="false">BF39*0.5+BG39*0.5+BH39*0.5+BI39+BJ39+BK39+2*(BL39+BM39+BN39)</f>
        <v>10</v>
      </c>
      <c r="AZ39" s="70"/>
      <c r="BA39" s="70"/>
      <c r="BB39" s="70"/>
      <c r="BC39" s="70"/>
      <c r="BD39" s="70"/>
      <c r="BE39" s="70"/>
      <c r="BF39" s="74" t="n">
        <f aca="false">SUMIFS(BF41:BF65,AW41:AW65,AW39)</f>
        <v>0</v>
      </c>
      <c r="BG39" s="74" t="n">
        <f aca="false">SUMIFS(BG41:BG65,AW41:AW65,AW39)</f>
        <v>0</v>
      </c>
      <c r="BH39" s="74" t="n">
        <f aca="false">SUMIFS(BH41:BH65,AW41:AW65,AW39)</f>
        <v>0</v>
      </c>
      <c r="BI39" s="74" t="n">
        <f aca="false">SUMIFS(BI41:BI65,AW41:AW65,AW39)</f>
        <v>1</v>
      </c>
      <c r="BJ39" s="74" t="n">
        <f aca="false">SUMIFS(BJ41:BJ65,AW41:AW65,AW39)</f>
        <v>2</v>
      </c>
      <c r="BK39" s="74" t="n">
        <f aca="false">SUMIFS(BK41:BK65,AW41:AW65,AW39)</f>
        <v>3</v>
      </c>
      <c r="BL39" s="74" t="n">
        <f aca="false">SUMIFS(BL41:BL65,AW41:AW65,AW39)</f>
        <v>0</v>
      </c>
      <c r="BM39" s="74" t="n">
        <f aca="false">SUMIFS(BM41:BM65,AW41:AW65,AW39)</f>
        <v>1</v>
      </c>
      <c r="BN39" s="74" t="n">
        <f aca="false">SUMIFS(BN41:BN65,AW41:AW65,AW39)</f>
        <v>1</v>
      </c>
      <c r="BO39" s="75"/>
      <c r="BP39" s="76" t="n">
        <f aca="false">SUM(BO41:BO64)</f>
        <v>21</v>
      </c>
      <c r="BQ39" s="64"/>
      <c r="BR39" s="69" t="s">
        <v>96</v>
      </c>
      <c r="BS39" s="70" t="s">
        <v>97</v>
      </c>
      <c r="BT39" s="71" t="s">
        <v>30</v>
      </c>
      <c r="BU39" s="72" t="n">
        <f aca="false">0.5*(CC39+CD39+CE39)+CF39+CH39+2*(CI39+CJ39)</f>
        <v>5.5</v>
      </c>
      <c r="BV39" s="73" t="n">
        <f aca="false">CC39*0.5+CD39*0.5+CE39*0.5+CF39+CG39+CH39+2*(CI39+CJ39+CK39)</f>
        <v>9.5</v>
      </c>
      <c r="BW39" s="70"/>
      <c r="BX39" s="87"/>
      <c r="BY39" s="70"/>
      <c r="BZ39" s="70"/>
      <c r="CA39" s="70"/>
      <c r="CB39" s="87"/>
      <c r="CC39" s="74" t="n">
        <f aca="false">SUMIFS(CC44:CC65,BT44:BT65,BT39)</f>
        <v>5</v>
      </c>
      <c r="CD39" s="74" t="n">
        <f aca="false">SUMIFS(CD44:CD65,BT44:BT65,BT39)</f>
        <v>0</v>
      </c>
      <c r="CE39" s="74" t="n">
        <f aca="false">SUMIFS(CE44:CE65,BT44:BT65,BT39)</f>
        <v>0</v>
      </c>
      <c r="CF39" s="74" t="n">
        <f aca="false">SUMIFS(CF44:CF65,BT44:BT65,BT39)</f>
        <v>1</v>
      </c>
      <c r="CG39" s="74" t="n">
        <f aca="false">SUMIFS(CG44:CG65,BT44:BT65,BT39)</f>
        <v>0</v>
      </c>
      <c r="CH39" s="74" t="n">
        <f aca="false">SUMIFS(CH44:CH65,BT44:BT65,BT39)</f>
        <v>2</v>
      </c>
      <c r="CI39" s="74" t="n">
        <f aca="false">SUMIFS(CI44:CI65,BT44:BT65,BT39)</f>
        <v>0</v>
      </c>
      <c r="CJ39" s="74" t="n">
        <f aca="false">SUMIFS(CJ44:CJ65,BT44:BT65,BT39)</f>
        <v>0</v>
      </c>
      <c r="CK39" s="74" t="n">
        <f aca="false">SUMIFS(CK44:CK65,BT44:BT65,BT39)</f>
        <v>2</v>
      </c>
      <c r="CL39" s="75"/>
      <c r="CM39" s="76" t="n">
        <f aca="false">SUM(CL42:CL51)</f>
        <v>10</v>
      </c>
      <c r="CN39" s="90"/>
      <c r="CO39" s="69" t="s">
        <v>96</v>
      </c>
      <c r="CP39" s="70" t="s">
        <v>98</v>
      </c>
      <c r="CQ39" s="71" t="s">
        <v>30</v>
      </c>
      <c r="CR39" s="72" t="n">
        <f aca="false">0.5*(CZ39+DA39+DB39)+DC39+DE39+2*(DF39+DG39)</f>
        <v>4</v>
      </c>
      <c r="CS39" s="73" t="n">
        <f aca="false">CZ39*0.5+DA39*0.5+DB39*0.5+DC39+DD39+DE39+2*(DF39+DG39+DH39)</f>
        <v>4</v>
      </c>
      <c r="CT39" s="70"/>
      <c r="CU39" s="70"/>
      <c r="CV39" s="70"/>
      <c r="CW39" s="70"/>
      <c r="CX39" s="70"/>
      <c r="CY39" s="70"/>
      <c r="CZ39" s="74" t="n">
        <f aca="false">SUMIFS(CZ41:CZ65,CQ41:CQ65,CQ39)</f>
        <v>0</v>
      </c>
      <c r="DA39" s="74" t="n">
        <f aca="false">SUMIFS(DA41:DA65,CQ41:CQ65,CQ39)</f>
        <v>0</v>
      </c>
      <c r="DB39" s="74" t="n">
        <f aca="false">SUMIFS(DB41:DB65,CQ41:CQ65,CQ39)</f>
        <v>0</v>
      </c>
      <c r="DC39" s="74" t="n">
        <f aca="false">SUMIFS(DC41:DC65,CQ41:CQ65,CQ39)</f>
        <v>0</v>
      </c>
      <c r="DD39" s="74" t="n">
        <f aca="false">SUMIFS(DD41:DD65,CQ41:CQ65,CQ39)</f>
        <v>0</v>
      </c>
      <c r="DE39" s="74" t="n">
        <f aca="false">SUMIFS(DE41:DE65,CQ41:CQ65,CQ39)</f>
        <v>0</v>
      </c>
      <c r="DF39" s="74" t="n">
        <f aca="false">SUMIFS(DF41:DF65,CQ41:CQ65,CQ39)</f>
        <v>2</v>
      </c>
      <c r="DG39" s="74" t="n">
        <f aca="false">SUMIFS(DG41:DG65,CQ41:CQ65,CQ39)</f>
        <v>0</v>
      </c>
      <c r="DH39" s="74" t="n">
        <f aca="false">SUMIFS(DH41:DH65,CQ41:CQ65,CQ39)</f>
        <v>0</v>
      </c>
      <c r="DI39" s="75"/>
      <c r="DJ39" s="76" t="n">
        <f aca="false">SUM(DI41:DI64)</f>
        <v>10</v>
      </c>
    </row>
    <row r="40" customFormat="false" ht="24.45" hidden="false" customHeight="false" outlineLevel="0" collapsed="false">
      <c r="A40" s="69" t="s">
        <v>38</v>
      </c>
      <c r="B40" s="245"/>
      <c r="C40" s="71" t="s">
        <v>36</v>
      </c>
      <c r="D40" s="72" t="n">
        <f aca="false">0.5*(L40+M40+N40)+O40+Q40+2*(R40+S40)</f>
        <v>0</v>
      </c>
      <c r="E40" s="73" t="n">
        <f aca="false">L40*0.5+M40*0.5+N40*0.5+O40+P40+Q40+2*(R40+S40+T40)</f>
        <v>0</v>
      </c>
      <c r="F40" s="70"/>
      <c r="G40" s="70"/>
      <c r="H40" s="70"/>
      <c r="I40" s="70"/>
      <c r="J40" s="70"/>
      <c r="K40" s="70"/>
      <c r="L40" s="74" t="n">
        <f aca="false">SUMIFS(L55:L65,C55:C65,C40)</f>
        <v>0</v>
      </c>
      <c r="M40" s="74" t="n">
        <f aca="false">SUMIFS(M55:M65,C55:C65,C40)</f>
        <v>0</v>
      </c>
      <c r="N40" s="74" t="n">
        <f aca="false">SUMIFS(N55:N65,C55:C65,C40)</f>
        <v>0</v>
      </c>
      <c r="O40" s="74" t="n">
        <f aca="false">SUMIFS(O55:O65,C55:C65,C40)</f>
        <v>0</v>
      </c>
      <c r="P40" s="74" t="n">
        <f aca="false">SUMIFS(P55:P65,C55:C65,C40)</f>
        <v>0</v>
      </c>
      <c r="Q40" s="74" t="n">
        <f aca="false">SUMIFS(Q55:Q65,C55:C65,C40)</f>
        <v>0</v>
      </c>
      <c r="R40" s="74" t="n">
        <f aca="false">SUMIFS(R55:R65,C55:C65,C40)</f>
        <v>0</v>
      </c>
      <c r="S40" s="74" t="n">
        <f aca="false">SUMIFS(S55:S65,C55:C65,C40)</f>
        <v>0</v>
      </c>
      <c r="T40" s="74" t="n">
        <f aca="false">SUMIFS(T55:T65,C55:C65,C40)</f>
        <v>0</v>
      </c>
      <c r="U40" s="75"/>
      <c r="V40" s="76"/>
      <c r="W40" s="90"/>
      <c r="AT40" s="90"/>
      <c r="AU40" s="69" t="s">
        <v>38</v>
      </c>
      <c r="AV40" s="246"/>
      <c r="AW40" s="71" t="s">
        <v>36</v>
      </c>
      <c r="AX40" s="72" t="n">
        <f aca="false">0.5*(BF40+BG40+BH40)+BI40+BK40+2*(BL40+BM40)</f>
        <v>0</v>
      </c>
      <c r="AY40" s="73" t="n">
        <f aca="false">BF40*0.5+BG40*0.5+BH40*0.5+BI40+BJ40+BK40+2*(BL40+BM40+BN40)</f>
        <v>0</v>
      </c>
      <c r="AZ40" s="70"/>
      <c r="BA40" s="70"/>
      <c r="BB40" s="70"/>
      <c r="BC40" s="70"/>
      <c r="BD40" s="70"/>
      <c r="BE40" s="70"/>
      <c r="BF40" s="74" t="n">
        <f aca="false">SUMIFS(BF41:BF65,AW41:AW65,AW40)</f>
        <v>0</v>
      </c>
      <c r="BG40" s="74" t="n">
        <f aca="false">SUMIFS(BG41:BG65,AW41:AW65,AW40)</f>
        <v>0</v>
      </c>
      <c r="BH40" s="74" t="n">
        <f aca="false">SUMIFS(BH41:BH65,AW41:AW65,AW40)</f>
        <v>0</v>
      </c>
      <c r="BI40" s="74" t="n">
        <f aca="false">SUMIFS(BI41:BI65,AW41:AW65,AW40)</f>
        <v>0</v>
      </c>
      <c r="BJ40" s="74" t="n">
        <f aca="false">SUMIFS(BJ41:BJ65,AW41:AW65,AW40)</f>
        <v>0</v>
      </c>
      <c r="BK40" s="74" t="n">
        <f aca="false">SUMIFS(BK41:BK65,AW41:AW65,AW40)</f>
        <v>0</v>
      </c>
      <c r="BL40" s="74" t="n">
        <f aca="false">SUMIFS(BL41:BL65,AW41:AW65,AW40)</f>
        <v>0</v>
      </c>
      <c r="BM40" s="74" t="n">
        <f aca="false">SUMIFS(BM41:BM65,AW41:AW65,AW40)</f>
        <v>0</v>
      </c>
      <c r="BN40" s="74" t="n">
        <f aca="false">SUMIFS(BN41:BN65,AW41:AW65,AW40)</f>
        <v>0</v>
      </c>
      <c r="BO40" s="75"/>
      <c r="BP40" s="76"/>
      <c r="BQ40" s="90"/>
      <c r="BR40" s="69" t="s">
        <v>99</v>
      </c>
      <c r="BS40" s="70"/>
      <c r="BT40" s="71" t="s">
        <v>36</v>
      </c>
      <c r="BU40" s="72" t="n">
        <f aca="false">0.5*(CC40+CD40+CE40)+CF40+CH40+2*(CI40+CJ40)</f>
        <v>8.5</v>
      </c>
      <c r="BV40" s="73" t="n">
        <f aca="false">CC40*0.5+CD40*0.5+CE40*0.5+CF40+CG40+CH40+2*(CI40+CJ40+CK40)</f>
        <v>12.5</v>
      </c>
      <c r="BW40" s="70"/>
      <c r="BX40" s="87"/>
      <c r="BY40" s="70"/>
      <c r="BZ40" s="70"/>
      <c r="CA40" s="70"/>
      <c r="CB40" s="87"/>
      <c r="CC40" s="74" t="n">
        <f aca="false">SUMIFS(CC44:CC65,BT44:BT65,BT40)</f>
        <v>0</v>
      </c>
      <c r="CD40" s="74" t="n">
        <f aca="false">SUMIFS(CD44:CD65,BT44:BT65,BT40)</f>
        <v>1</v>
      </c>
      <c r="CE40" s="74" t="n">
        <f aca="false">SUMIFS(CE44:CE65,BT44:BT65,BT40)</f>
        <v>0</v>
      </c>
      <c r="CF40" s="74" t="n">
        <f aca="false">SUMIFS(CF44:CF65,BT44:BT65,BT40)</f>
        <v>1</v>
      </c>
      <c r="CG40" s="74" t="n">
        <f aca="false">SUMIFS(CG44:CG65,BT44:BT65,BT40)</f>
        <v>0</v>
      </c>
      <c r="CH40" s="74" t="n">
        <f aca="false">SUMIFS(CH44:CH65,BT44:BT65,BT40)</f>
        <v>3</v>
      </c>
      <c r="CI40" s="74" t="n">
        <f aca="false">SUMIFS(CI44:CI65,BT44:BT65,BT40)</f>
        <v>1</v>
      </c>
      <c r="CJ40" s="74" t="n">
        <f aca="false">SUMIFS(CJ44:CJ65,BT44:BT65,BT40)</f>
        <v>1</v>
      </c>
      <c r="CK40" s="74" t="n">
        <f aca="false">SUMIFS(CK44:CK65,BT44:BT65,BT40)</f>
        <v>2</v>
      </c>
      <c r="CL40" s="75"/>
      <c r="CM40" s="76"/>
      <c r="CN40" s="90"/>
      <c r="CO40" s="69" t="s">
        <v>99</v>
      </c>
      <c r="CP40" s="70"/>
      <c r="CQ40" s="71" t="s">
        <v>36</v>
      </c>
      <c r="CR40" s="72" t="n">
        <f aca="false">0.5*(CZ40+DA40+DB40)+DC40+DE40+2*(DF40+DG40)</f>
        <v>15.5</v>
      </c>
      <c r="CS40" s="73" t="n">
        <f aca="false">CZ40*0.5+DA40*0.5+DB40*0.5+DC40+DD40+DE40+2*(DF40+DG40+DH40)</f>
        <v>19.5</v>
      </c>
      <c r="CT40" s="70"/>
      <c r="CU40" s="70"/>
      <c r="CV40" s="70"/>
      <c r="CW40" s="70"/>
      <c r="CX40" s="70"/>
      <c r="CY40" s="70"/>
      <c r="CZ40" s="74" t="n">
        <f aca="false">SUMIFS(CZ41:CZ65,CQ41:CQ65,CQ40)</f>
        <v>0</v>
      </c>
      <c r="DA40" s="74" t="n">
        <f aca="false">SUMIFS(DA41:DA65,CQ41:CQ65,CQ40)</f>
        <v>1</v>
      </c>
      <c r="DB40" s="74" t="n">
        <f aca="false">SUMIFS(DB41:DB65,CQ41:CQ65,CQ40)</f>
        <v>0</v>
      </c>
      <c r="DC40" s="74" t="n">
        <f aca="false">SUMIFS(DC41:DC65,CQ41:CQ65,CQ40)</f>
        <v>1</v>
      </c>
      <c r="DD40" s="74" t="n">
        <f aca="false">SUMIFS(DD41:DD65,CQ41:CQ65,CQ40)</f>
        <v>0</v>
      </c>
      <c r="DE40" s="74" t="n">
        <f aca="false">SUMIFS(DE41:DE65,CQ41:CQ65,CQ40)</f>
        <v>0</v>
      </c>
      <c r="DF40" s="74" t="n">
        <f aca="false">SUMIFS(DF41:DF65,CQ41:CQ65,CQ40)</f>
        <v>7</v>
      </c>
      <c r="DG40" s="74" t="n">
        <f aca="false">SUMIFS(DG41:DG65,CQ41:CQ65,CQ40)</f>
        <v>0</v>
      </c>
      <c r="DH40" s="74" t="n">
        <f aca="false">SUMIFS(DH41:DH65,CQ41:CQ65,CQ40)</f>
        <v>2</v>
      </c>
      <c r="DI40" s="75"/>
      <c r="DJ40" s="76"/>
    </row>
    <row r="41" customFormat="false" ht="285.75" hidden="false" customHeight="true" outlineLevel="0" collapsed="false">
      <c r="A41" s="247" t="s">
        <v>100</v>
      </c>
      <c r="B41" s="147" t="s">
        <v>101</v>
      </c>
      <c r="C41" s="118" t="s">
        <v>30</v>
      </c>
      <c r="D41" s="118" t="n">
        <f aca="false">0.5*(L41+M41+N41)+O41+Q41+2*(R41+S41)</f>
        <v>0</v>
      </c>
      <c r="E41" s="118" t="n">
        <f aca="false">L41*0.5+M41*0.5+N41*0.5+O41+P41+Q41+2*(R41+S41+T41)</f>
        <v>4</v>
      </c>
      <c r="F41" s="206"/>
      <c r="G41" s="248" t="s">
        <v>70</v>
      </c>
      <c r="H41" s="103"/>
      <c r="I41" s="103"/>
      <c r="J41" s="103"/>
      <c r="K41" s="249" t="s">
        <v>102</v>
      </c>
      <c r="L41" s="103"/>
      <c r="M41" s="103"/>
      <c r="N41" s="103"/>
      <c r="O41" s="103"/>
      <c r="P41" s="103"/>
      <c r="Q41" s="103"/>
      <c r="R41" s="250"/>
      <c r="S41" s="50"/>
      <c r="T41" s="101" t="n">
        <v>2</v>
      </c>
      <c r="U41" s="251" t="n">
        <v>1</v>
      </c>
      <c r="V41" s="151" t="s">
        <v>61</v>
      </c>
      <c r="W41" s="2"/>
      <c r="AU41" s="252" t="s">
        <v>103</v>
      </c>
      <c r="AV41" s="105" t="s">
        <v>104</v>
      </c>
      <c r="AW41" s="94" t="s">
        <v>30</v>
      </c>
      <c r="AX41" s="95" t="n">
        <f aca="false">0.5*(BF41+BG41+BH41)+BI41+BK41+2*(BL41+BM41)</f>
        <v>2</v>
      </c>
      <c r="AY41" s="95" t="n">
        <f aca="false">BF41*0.5+BG41*0.5+BH41*0.5+BI41+BJ41+BK41+2*(BL41+BM41+BN41)</f>
        <v>3</v>
      </c>
      <c r="AZ41" s="50" t="e">
        <f aca="false">#VALUE!</f>
        <v>#VALUE!</v>
      </c>
      <c r="BA41" s="50" t="s">
        <v>42</v>
      </c>
      <c r="BB41" s="253" t="s">
        <v>105</v>
      </c>
      <c r="BC41" s="176" t="s">
        <v>48</v>
      </c>
      <c r="BD41" s="168"/>
      <c r="BE41" s="50" t="s">
        <v>106</v>
      </c>
      <c r="BF41" s="99"/>
      <c r="BG41" s="99"/>
      <c r="BH41" s="99"/>
      <c r="BI41" s="99"/>
      <c r="BJ41" s="181" t="n">
        <v>1</v>
      </c>
      <c r="BK41" s="100" t="n">
        <v>2</v>
      </c>
      <c r="BL41" s="99"/>
      <c r="BM41" s="99"/>
      <c r="BN41" s="99"/>
      <c r="BO41" s="108" t="n">
        <v>1</v>
      </c>
      <c r="BP41" s="138"/>
      <c r="BQ41" s="90"/>
      <c r="BR41" s="231" t="s">
        <v>107</v>
      </c>
      <c r="BS41" s="127" t="s">
        <v>108</v>
      </c>
      <c r="BT41" s="118" t="s">
        <v>30</v>
      </c>
      <c r="BU41" s="95" t="n">
        <f aca="false">0.5*(CC41+CD41+CE41)+CF41+CH41+2*(CI41+CJ41)</f>
        <v>4</v>
      </c>
      <c r="BV41" s="95" t="n">
        <f aca="false">CC41*0.5+CD41*0.5+CE41*0.5+CF41+CG41+CH41+2*(CI41+CJ41+CK41)</f>
        <v>4</v>
      </c>
      <c r="BW41" s="108"/>
      <c r="BX41" s="7" t="s">
        <v>109</v>
      </c>
      <c r="BY41" s="149"/>
      <c r="BZ41" s="149"/>
      <c r="CA41" s="149"/>
      <c r="CB41" s="149" t="s">
        <v>110</v>
      </c>
      <c r="CC41" s="149"/>
      <c r="CD41" s="149"/>
      <c r="CE41" s="149"/>
      <c r="CF41" s="149"/>
      <c r="CG41" s="149"/>
      <c r="CH41" s="149"/>
      <c r="CI41" s="100" t="n">
        <v>2</v>
      </c>
      <c r="CJ41" s="149"/>
      <c r="CK41" s="149"/>
      <c r="CL41" s="102" t="n">
        <v>1</v>
      </c>
      <c r="CM41" s="149"/>
      <c r="CN41" s="90"/>
      <c r="CO41" s="231" t="s">
        <v>107</v>
      </c>
      <c r="CP41" s="147" t="s">
        <v>108</v>
      </c>
      <c r="CQ41" s="118" t="s">
        <v>30</v>
      </c>
      <c r="CR41" s="95" t="n">
        <f aca="false">0.5*(CZ41+DA41+DB41)+DC41+DE41+2*(DF41+DG41)</f>
        <v>4</v>
      </c>
      <c r="CS41" s="95" t="n">
        <f aca="false">CZ41*0.5+DA41*0.5+DB41*0.5+DC41+DD41+DE41+2*(DF41+DG41+DH41)</f>
        <v>4</v>
      </c>
      <c r="CT41" s="108"/>
      <c r="CU41" s="7" t="s">
        <v>109</v>
      </c>
      <c r="CV41" s="149"/>
      <c r="CW41" s="149"/>
      <c r="CX41" s="149"/>
      <c r="CY41" s="149" t="s">
        <v>110</v>
      </c>
      <c r="CZ41" s="129"/>
      <c r="DA41" s="129"/>
      <c r="DB41" s="129"/>
      <c r="DC41" s="129"/>
      <c r="DD41" s="129"/>
      <c r="DE41" s="129"/>
      <c r="DF41" s="100" t="n">
        <v>2</v>
      </c>
      <c r="DG41" s="129"/>
      <c r="DH41" s="129"/>
      <c r="DI41" s="102" t="n">
        <v>1</v>
      </c>
      <c r="DJ41" s="149"/>
    </row>
    <row r="42" customFormat="false" ht="339" hidden="false" customHeight="true" outlineLevel="0" collapsed="false">
      <c r="A42" s="247" t="s">
        <v>100</v>
      </c>
      <c r="B42" s="93" t="s">
        <v>111</v>
      </c>
      <c r="C42" s="118" t="s">
        <v>30</v>
      </c>
      <c r="D42" s="118" t="n">
        <f aca="false">0.5*(L42+M42+N42)+O42+Q42+2*(R42+S42)</f>
        <v>1</v>
      </c>
      <c r="E42" s="118" t="n">
        <f aca="false">L42*0.5+M42*0.5+N42*0.5+O42+P42+Q42+2*(R42+S42+T42)</f>
        <v>1</v>
      </c>
      <c r="F42" s="164"/>
      <c r="G42" s="7" t="s">
        <v>42</v>
      </c>
      <c r="H42" s="7"/>
      <c r="I42" s="107" t="s">
        <v>48</v>
      </c>
      <c r="J42" s="254" t="s">
        <v>14</v>
      </c>
      <c r="K42" s="7" t="s">
        <v>112</v>
      </c>
      <c r="L42" s="50"/>
      <c r="M42" s="50"/>
      <c r="N42" s="50"/>
      <c r="O42" s="50"/>
      <c r="P42" s="50"/>
      <c r="Q42" s="255" t="n">
        <v>1</v>
      </c>
      <c r="R42" s="50"/>
      <c r="S42" s="50"/>
      <c r="T42" s="50"/>
      <c r="U42" s="251" t="n">
        <v>1</v>
      </c>
      <c r="V42" s="151" t="s">
        <v>61</v>
      </c>
      <c r="W42" s="2"/>
      <c r="AT42" s="90"/>
      <c r="AU42" s="252" t="s">
        <v>103</v>
      </c>
      <c r="AV42" s="105" t="s">
        <v>113</v>
      </c>
      <c r="AW42" s="118" t="s">
        <v>30</v>
      </c>
      <c r="AX42" s="95" t="n">
        <f aca="false">0.5*(BF42+BG42+BH42)+BI42+BK42+2*(BL42+BM42)</f>
        <v>2</v>
      </c>
      <c r="AY42" s="95" t="n">
        <f aca="false">BF42*0.5+BG42*0.5+BH42*0.5+BI42+BJ42+BK42+2*(BL42+BM42+BN42)</f>
        <v>3</v>
      </c>
      <c r="AZ42" s="7" t="e">
        <f aca="false">#VALUE!</f>
        <v>#VALUE!</v>
      </c>
      <c r="BA42" s="7" t="s">
        <v>42</v>
      </c>
      <c r="BB42" s="205"/>
      <c r="BC42" s="107" t="s">
        <v>48</v>
      </c>
      <c r="BD42" s="185" t="s">
        <v>14</v>
      </c>
      <c r="BE42" s="50" t="s">
        <v>114</v>
      </c>
      <c r="BF42" s="99"/>
      <c r="BG42" s="99"/>
      <c r="BH42" s="99"/>
      <c r="BI42" s="133"/>
      <c r="BJ42" s="181" t="n">
        <v>1</v>
      </c>
      <c r="BK42" s="99"/>
      <c r="BL42" s="99"/>
      <c r="BM42" s="100" t="n">
        <v>1</v>
      </c>
      <c r="BN42" s="99"/>
      <c r="BO42" s="108" t="n">
        <v>1</v>
      </c>
      <c r="BP42" s="109"/>
      <c r="BQ42" s="90"/>
      <c r="BR42" s="146" t="s">
        <v>59</v>
      </c>
      <c r="BS42" s="147" t="s">
        <v>115</v>
      </c>
      <c r="BT42" s="118" t="s">
        <v>30</v>
      </c>
      <c r="BU42" s="118" t="n">
        <f aca="false">0.5*(CC42+CD42+CE42)+CF42+CH42+2*(CI42+CJ42)</f>
        <v>1</v>
      </c>
      <c r="BV42" s="118" t="n">
        <f aca="false">CC42*0.5+CD42*0.5+CE42*0.5+CF42+CG42+CH42+2*(CI42+CJ42+CK42)</f>
        <v>1</v>
      </c>
      <c r="BW42" s="170"/>
      <c r="BX42" s="158" t="s">
        <v>65</v>
      </c>
      <c r="BY42" s="159" t="s">
        <v>66</v>
      </c>
      <c r="BZ42" s="149"/>
      <c r="CA42" s="119"/>
      <c r="CB42" s="119" t="s">
        <v>116</v>
      </c>
      <c r="CC42" s="115"/>
      <c r="CD42" s="256" t="n">
        <v>2</v>
      </c>
      <c r="CE42" s="121"/>
      <c r="CF42" s="115"/>
      <c r="CG42" s="99"/>
      <c r="CH42" s="121"/>
      <c r="CI42" s="115"/>
      <c r="CJ42" s="121"/>
      <c r="CK42" s="121"/>
      <c r="CL42" s="108" t="n">
        <v>1</v>
      </c>
      <c r="CM42" s="109"/>
      <c r="CN42" s="90"/>
      <c r="CO42" s="257" t="s">
        <v>117</v>
      </c>
      <c r="CP42" s="168" t="s">
        <v>118</v>
      </c>
      <c r="CQ42" s="118" t="s">
        <v>36</v>
      </c>
      <c r="CR42" s="95" t="n">
        <f aca="false">0.5*(CZ42+DA42+DB42)+DC42+DE42+2*(DF42+DG42)</f>
        <v>12</v>
      </c>
      <c r="CS42" s="95" t="n">
        <f aca="false">CZ42*0.5+DA42*0.5+DB42*0.5+DC42+DD42+DE42+2*(DF42+DG42+DH42)</f>
        <v>14</v>
      </c>
      <c r="CT42" s="103"/>
      <c r="CU42" s="258" t="s">
        <v>51</v>
      </c>
      <c r="CV42" s="259"/>
      <c r="CW42" s="259"/>
      <c r="CX42" s="98"/>
      <c r="CY42" s="98" t="s">
        <v>119</v>
      </c>
      <c r="CZ42" s="99"/>
      <c r="DA42" s="99"/>
      <c r="DB42" s="99"/>
      <c r="DC42" s="99"/>
      <c r="DD42" s="99"/>
      <c r="DE42" s="99"/>
      <c r="DF42" s="100" t="n">
        <v>6</v>
      </c>
      <c r="DG42" s="99"/>
      <c r="DH42" s="101" t="n">
        <v>1</v>
      </c>
      <c r="DI42" s="108" t="n">
        <v>1</v>
      </c>
      <c r="DJ42" s="103"/>
    </row>
    <row r="43" customFormat="false" ht="312" hidden="false" customHeight="true" outlineLevel="0" collapsed="false">
      <c r="A43" s="247" t="s">
        <v>100</v>
      </c>
      <c r="B43" s="93" t="s">
        <v>120</v>
      </c>
      <c r="C43" s="118" t="s">
        <v>30</v>
      </c>
      <c r="D43" s="118" t="n">
        <f aca="false">0.5*(L43+M43+N43)+O43+Q43+2*(R43+S43)</f>
        <v>2</v>
      </c>
      <c r="E43" s="118" t="n">
        <f aca="false">L43*0.5+M43*0.5+N43*0.5+O43+P43+Q43+2*(R43+S43+T43)</f>
        <v>6</v>
      </c>
      <c r="F43" s="206"/>
      <c r="G43" s="7" t="s">
        <v>51</v>
      </c>
      <c r="H43" s="7"/>
      <c r="I43" s="7"/>
      <c r="J43" s="103"/>
      <c r="K43" s="50" t="s">
        <v>121</v>
      </c>
      <c r="L43" s="136"/>
      <c r="M43" s="136"/>
      <c r="N43" s="136"/>
      <c r="O43" s="260" t="n">
        <v>2</v>
      </c>
      <c r="P43" s="136"/>
      <c r="Q43" s="136"/>
      <c r="R43" s="136"/>
      <c r="S43" s="261"/>
      <c r="T43" s="262" t="n">
        <v>2</v>
      </c>
      <c r="U43" s="251" t="n">
        <v>1</v>
      </c>
      <c r="V43" s="151" t="s">
        <v>61</v>
      </c>
      <c r="W43" s="2"/>
      <c r="AT43" s="90"/>
      <c r="AU43" s="252" t="s">
        <v>103</v>
      </c>
      <c r="AV43" s="105" t="s">
        <v>122</v>
      </c>
      <c r="AW43" s="118" t="s">
        <v>30</v>
      </c>
      <c r="AX43" s="95" t="n">
        <f aca="false">0.5*(BF43+BG43+BH43)+BI43+BK43+2*(BL43+BM43)</f>
        <v>0</v>
      </c>
      <c r="AY43" s="95" t="n">
        <f aca="false">BF43*0.5+BG43*0.5+BH43*0.5+BI43+BJ43+BK43+2*(BL43+BM43+BN43)</f>
        <v>0</v>
      </c>
      <c r="AZ43" s="164"/>
      <c r="BA43" s="7" t="s">
        <v>42</v>
      </c>
      <c r="BC43" s="107" t="s">
        <v>48</v>
      </c>
      <c r="BD43" s="185" t="s">
        <v>14</v>
      </c>
      <c r="BE43" s="50"/>
      <c r="BF43" s="99"/>
      <c r="BG43" s="99"/>
      <c r="BH43" s="99"/>
      <c r="BI43" s="263"/>
      <c r="BJ43" s="264"/>
      <c r="BK43" s="265"/>
      <c r="BL43" s="99"/>
      <c r="BM43" s="99"/>
      <c r="BN43" s="99"/>
      <c r="BO43" s="108" t="n">
        <v>1</v>
      </c>
      <c r="BP43" s="109"/>
      <c r="BQ43" s="90"/>
      <c r="BR43" s="146" t="s">
        <v>59</v>
      </c>
      <c r="BS43" s="183" t="s">
        <v>123</v>
      </c>
      <c r="BT43" s="118" t="s">
        <v>30</v>
      </c>
      <c r="BU43" s="118" t="n">
        <f aca="false">0.5*(CC43+CD43+CE43)+CF43+CH43+2*(CI43+CJ43)</f>
        <v>3.5</v>
      </c>
      <c r="BV43" s="118" t="n">
        <f aca="false">CC43*0.5+CD43*0.5+CE43*0.5+CF43+CG43+CH43+2*(CI43+CJ43+CK43)</f>
        <v>4.5</v>
      </c>
      <c r="BW43" s="170"/>
      <c r="BX43" s="7" t="s">
        <v>51</v>
      </c>
      <c r="BY43" s="119"/>
      <c r="BZ43" s="241"/>
      <c r="CA43" s="119"/>
      <c r="CB43" s="119" t="s">
        <v>124</v>
      </c>
      <c r="CC43" s="256" t="n">
        <v>1</v>
      </c>
      <c r="CD43" s="121"/>
      <c r="CE43" s="121"/>
      <c r="CF43" s="256" t="n">
        <v>1</v>
      </c>
      <c r="CG43" s="101" t="n">
        <v>1</v>
      </c>
      <c r="CH43" s="124"/>
      <c r="CI43" s="256" t="n">
        <v>1</v>
      </c>
      <c r="CJ43" s="121"/>
      <c r="CK43" s="121"/>
      <c r="CL43" s="221" t="n">
        <v>1</v>
      </c>
      <c r="CM43" s="222"/>
      <c r="CN43" s="90"/>
      <c r="CO43" s="257" t="s">
        <v>117</v>
      </c>
      <c r="CP43" s="93" t="s">
        <v>125</v>
      </c>
      <c r="CQ43" s="118" t="s">
        <v>36</v>
      </c>
      <c r="CR43" s="95" t="n">
        <f aca="false">0.5*(CZ43+DA43+DB43)+DC43+DE43+2*(DF43+DG43)</f>
        <v>0</v>
      </c>
      <c r="CS43" s="95" t="n">
        <f aca="false">CZ43*0.5+DA43*0.5+DB43*0.5+DC43+DD43+DE43+2*(DF43+DG43+DH43)</f>
        <v>0</v>
      </c>
      <c r="CT43" s="152"/>
      <c r="CU43" s="50" t="s">
        <v>42</v>
      </c>
      <c r="CV43" s="93"/>
      <c r="CW43" s="103"/>
      <c r="CX43" s="50"/>
      <c r="CY43" s="50" t="s">
        <v>88</v>
      </c>
      <c r="CZ43" s="266"/>
      <c r="DA43" s="266"/>
      <c r="DB43" s="266"/>
      <c r="DC43" s="266"/>
      <c r="DD43" s="266"/>
      <c r="DE43" s="266"/>
      <c r="DF43" s="266"/>
      <c r="DG43" s="266"/>
      <c r="DH43" s="266"/>
      <c r="DI43" s="108" t="n">
        <v>1</v>
      </c>
      <c r="DJ43" s="167"/>
    </row>
    <row r="44" customFormat="false" ht="255" hidden="false" customHeight="true" outlineLevel="0" collapsed="false">
      <c r="A44" s="247" t="s">
        <v>100</v>
      </c>
      <c r="B44" s="93" t="s">
        <v>126</v>
      </c>
      <c r="C44" s="118" t="s">
        <v>30</v>
      </c>
      <c r="D44" s="118" t="n">
        <f aca="false">0.5*(L44+M44+N44)+O44+Q44+2*(R44+S44)</f>
        <v>0</v>
      </c>
      <c r="E44" s="118" t="n">
        <f aca="false">L44*0.5+M44*0.5+N44*0.5+O44+P44+Q44+2*(R44+S44+T44)</f>
        <v>2</v>
      </c>
      <c r="F44" s="164"/>
      <c r="G44" s="7" t="s">
        <v>42</v>
      </c>
      <c r="H44" s="7"/>
      <c r="I44" s="107" t="s">
        <v>48</v>
      </c>
      <c r="J44" s="267"/>
      <c r="K44" s="50" t="s">
        <v>127</v>
      </c>
      <c r="L44" s="50"/>
      <c r="M44" s="50"/>
      <c r="N44" s="50"/>
      <c r="O44" s="50"/>
      <c r="P44" s="50"/>
      <c r="Q44" s="50"/>
      <c r="R44" s="50"/>
      <c r="S44" s="50"/>
      <c r="T44" s="181" t="n">
        <v>1</v>
      </c>
      <c r="U44" s="251" t="n">
        <v>1</v>
      </c>
      <c r="V44" s="151" t="s">
        <v>61</v>
      </c>
      <c r="W44" s="2"/>
      <c r="AT44" s="90"/>
      <c r="AU44" s="252" t="s">
        <v>103</v>
      </c>
      <c r="AV44" s="105" t="s">
        <v>128</v>
      </c>
      <c r="AW44" s="118" t="s">
        <v>30</v>
      </c>
      <c r="AX44" s="95" t="n">
        <f aca="false">0.5*(BF44+BG44+BH44)+BI44+BK44+2*(BL44+BM44)</f>
        <v>0</v>
      </c>
      <c r="AY44" s="95" t="n">
        <f aca="false">BF44*0.5+BG44*0.5+BH44*0.5+BI44+BJ44+BK44+2*(BL44+BM44+BN44)</f>
        <v>0</v>
      </c>
      <c r="AZ44" s="164"/>
      <c r="BA44" s="7" t="s">
        <v>42</v>
      </c>
      <c r="BC44" s="107" t="s">
        <v>48</v>
      </c>
      <c r="BD44" s="185" t="s">
        <v>14</v>
      </c>
      <c r="BE44" s="50"/>
      <c r="BF44" s="99"/>
      <c r="BG44" s="99"/>
      <c r="BH44" s="99"/>
      <c r="BI44" s="263"/>
      <c r="BJ44" s="144"/>
      <c r="BK44" s="265"/>
      <c r="BL44" s="99"/>
      <c r="BM44" s="99"/>
      <c r="BN44" s="99"/>
      <c r="BO44" s="108" t="n">
        <v>1</v>
      </c>
      <c r="BP44" s="109"/>
      <c r="BQ44" s="90"/>
      <c r="BR44" s="268" t="s">
        <v>129</v>
      </c>
      <c r="BS44" s="147" t="s">
        <v>130</v>
      </c>
      <c r="BT44" s="118" t="s">
        <v>30</v>
      </c>
      <c r="BU44" s="118" t="n">
        <f aca="false">0.5*(CC44+CD44+CE44)+CF44+CH44+2*(CI44+CJ44)</f>
        <v>0</v>
      </c>
      <c r="BV44" s="118" t="n">
        <f aca="false">CC44*0.5+CD44*0.5+CE44*0.5+CF44+CG44+CH44+2*(CI44+CJ44+CK44)</f>
        <v>0</v>
      </c>
      <c r="BW44" s="206"/>
      <c r="BX44" s="149" t="s">
        <v>42</v>
      </c>
      <c r="BY44" s="149"/>
      <c r="BZ44" s="107" t="s">
        <v>48</v>
      </c>
      <c r="CA44" s="103"/>
      <c r="CB44" s="119" t="s">
        <v>131</v>
      </c>
      <c r="CC44" s="129"/>
      <c r="CD44" s="129"/>
      <c r="CE44" s="129"/>
      <c r="CF44" s="129"/>
      <c r="CG44" s="129"/>
      <c r="CH44" s="129"/>
      <c r="CI44" s="129"/>
      <c r="CJ44" s="129"/>
      <c r="CK44" s="129"/>
      <c r="CL44" s="108" t="n">
        <v>1</v>
      </c>
      <c r="CM44" s="109"/>
      <c r="CN44" s="90"/>
      <c r="CO44" s="257" t="s">
        <v>117</v>
      </c>
      <c r="CP44" s="93" t="s">
        <v>132</v>
      </c>
      <c r="CQ44" s="94" t="s">
        <v>36</v>
      </c>
      <c r="CR44" s="95" t="n">
        <f aca="false">0.5*(CZ44+DA44+DB44)+DC44+DE44+2*(DF44+DG44)</f>
        <v>0</v>
      </c>
      <c r="CS44" s="95" t="n">
        <f aca="false">CZ44*0.5+DA44*0.5+DB44*0.5+DC44+DD44+DE44+2*(DF44+DG44+DH44)</f>
        <v>0</v>
      </c>
      <c r="CT44" s="152"/>
      <c r="CU44" s="50" t="s">
        <v>70</v>
      </c>
      <c r="CV44" s="7"/>
      <c r="CW44" s="103"/>
      <c r="CX44" s="50"/>
      <c r="CY44" s="50" t="s">
        <v>88</v>
      </c>
      <c r="CZ44" s="99"/>
      <c r="DA44" s="99"/>
      <c r="DB44" s="99"/>
      <c r="DC44" s="99"/>
      <c r="DD44" s="99"/>
      <c r="DE44" s="99"/>
      <c r="DF44" s="99"/>
      <c r="DG44" s="99"/>
      <c r="DH44" s="99"/>
      <c r="DI44" s="108" t="n">
        <v>1</v>
      </c>
      <c r="DJ44" s="269"/>
    </row>
    <row r="45" customFormat="false" ht="255" hidden="false" customHeight="true" outlineLevel="0" collapsed="false">
      <c r="A45" s="247" t="s">
        <v>100</v>
      </c>
      <c r="B45" s="147" t="s">
        <v>133</v>
      </c>
      <c r="C45" s="118" t="s">
        <v>30</v>
      </c>
      <c r="D45" s="118" t="n">
        <f aca="false">0.5*(L45+M45+N45)+O45+Q45+2*(R45+S45)</f>
        <v>0.5</v>
      </c>
      <c r="E45" s="118" t="n">
        <f aca="false">L45*0.5+M45*0.5+N45*0.5+O45+P45+Q45+2*(R45+S45+T45)</f>
        <v>0.5</v>
      </c>
      <c r="F45" s="164"/>
      <c r="G45" s="7" t="s">
        <v>70</v>
      </c>
      <c r="H45" s="270" t="s">
        <v>134</v>
      </c>
      <c r="I45" s="271"/>
      <c r="J45" s="271"/>
      <c r="K45" s="114" t="s">
        <v>4</v>
      </c>
      <c r="L45" s="100" t="n">
        <v>1</v>
      </c>
      <c r="M45" s="258"/>
      <c r="N45" s="258"/>
      <c r="O45" s="258"/>
      <c r="P45" s="258"/>
      <c r="Q45" s="205"/>
      <c r="U45" s="251" t="n">
        <v>1</v>
      </c>
      <c r="V45" s="151" t="s">
        <v>61</v>
      </c>
      <c r="W45" s="2"/>
      <c r="AT45" s="90"/>
      <c r="AU45" s="252" t="s">
        <v>103</v>
      </c>
      <c r="AV45" s="272" t="s">
        <v>135</v>
      </c>
      <c r="AW45" s="94" t="s">
        <v>30</v>
      </c>
      <c r="AX45" s="95" t="n">
        <f aca="false">0.5*(BF45+BG45+BH45)+BI45+BK45+2*(BL45+BM45)</f>
        <v>0</v>
      </c>
      <c r="AY45" s="95" t="n">
        <f aca="false">BF45*0.5+BG45*0.5+BH45*0.5+BI45+BJ45+BK45+2*(BL45+BM45+BN45)</f>
        <v>0</v>
      </c>
      <c r="AZ45" s="273"/>
      <c r="BA45" s="7" t="s">
        <v>42</v>
      </c>
      <c r="BB45" s="93"/>
      <c r="BC45" s="107" t="s">
        <v>48</v>
      </c>
      <c r="BD45" s="274"/>
      <c r="BE45" s="274" t="s">
        <v>88</v>
      </c>
      <c r="BF45" s="275"/>
      <c r="BG45" s="275"/>
      <c r="BH45" s="275"/>
      <c r="BI45" s="275"/>
      <c r="BJ45" s="275"/>
      <c r="BK45" s="275"/>
      <c r="BL45" s="275"/>
      <c r="BM45" s="275"/>
      <c r="BN45" s="275"/>
      <c r="BO45" s="125" t="n">
        <v>1</v>
      </c>
      <c r="BP45" s="276"/>
      <c r="BQ45" s="90"/>
      <c r="BR45" s="268" t="s">
        <v>129</v>
      </c>
      <c r="BS45" s="147" t="s">
        <v>136</v>
      </c>
      <c r="BT45" s="118" t="s">
        <v>30</v>
      </c>
      <c r="BU45" s="118" t="n">
        <f aca="false">0.5*(CC45+CD45+CE45)+CF45+CH45+2*(CI45+CJ45)</f>
        <v>0.5</v>
      </c>
      <c r="BV45" s="118" t="n">
        <f aca="false">CC45*0.5+CD45*0.5+CE45*0.5+CF45+CG45+CH45+2*(CI45+CJ45+CK45)</f>
        <v>0.5</v>
      </c>
      <c r="BW45" s="206"/>
      <c r="BX45" s="119" t="s">
        <v>137</v>
      </c>
      <c r="BY45" s="119"/>
      <c r="BZ45" s="107" t="s">
        <v>48</v>
      </c>
      <c r="CA45" s="103"/>
      <c r="CB45" s="114" t="s">
        <v>138</v>
      </c>
      <c r="CC45" s="256" t="n">
        <v>1</v>
      </c>
      <c r="CD45" s="129"/>
      <c r="CE45" s="129"/>
      <c r="CF45" s="129"/>
      <c r="CG45" s="129"/>
      <c r="CH45" s="129"/>
      <c r="CI45" s="129"/>
      <c r="CJ45" s="129"/>
      <c r="CK45" s="129"/>
      <c r="CL45" s="108" t="n">
        <v>1</v>
      </c>
      <c r="CM45" s="109"/>
      <c r="CN45" s="90"/>
      <c r="CO45" s="257" t="s">
        <v>117</v>
      </c>
      <c r="CP45" s="93" t="s">
        <v>139</v>
      </c>
      <c r="CQ45" s="94" t="s">
        <v>36</v>
      </c>
      <c r="CR45" s="95" t="n">
        <f aca="false">0.5*(CZ45+DA45+DB45)+DC45+DE45+2*(DF45+DG45)</f>
        <v>1</v>
      </c>
      <c r="CS45" s="95" t="n">
        <f aca="false">CZ45*0.5+DA45*0.5+DB45*0.5+DC45+DD45+DE45+2*(DF45+DG45+DH45)</f>
        <v>3</v>
      </c>
      <c r="CT45" s="7"/>
      <c r="CU45" s="7" t="s">
        <v>51</v>
      </c>
      <c r="CV45" s="259"/>
      <c r="CW45" s="259"/>
      <c r="CX45" s="98"/>
      <c r="CY45" s="98" t="s">
        <v>140</v>
      </c>
      <c r="CZ45" s="266"/>
      <c r="DA45" s="266"/>
      <c r="DB45" s="266"/>
      <c r="DC45" s="277" t="n">
        <v>1</v>
      </c>
      <c r="DD45" s="99"/>
      <c r="DE45" s="278"/>
      <c r="DF45" s="266"/>
      <c r="DG45" s="266"/>
      <c r="DH45" s="101" t="n">
        <v>1</v>
      </c>
      <c r="DI45" s="108" t="n">
        <v>1</v>
      </c>
      <c r="DJ45" s="109"/>
    </row>
    <row r="46" customFormat="false" ht="282.75" hidden="false" customHeight="true" outlineLevel="0" collapsed="false">
      <c r="A46" s="247" t="s">
        <v>100</v>
      </c>
      <c r="B46" s="147" t="s">
        <v>141</v>
      </c>
      <c r="C46" s="118" t="s">
        <v>30</v>
      </c>
      <c r="D46" s="118" t="n">
        <f aca="false">0.5*(L46+M46+N46)+O46+Q46+2*(R46+S46)</f>
        <v>2</v>
      </c>
      <c r="E46" s="118" t="n">
        <f aca="false">L46*0.5+M46*0.5+N46*0.5+O46+P46+Q46+2*(R46+S46+T46)</f>
        <v>2</v>
      </c>
      <c r="F46" s="164"/>
      <c r="G46" s="158" t="s">
        <v>65</v>
      </c>
      <c r="H46" s="159" t="s">
        <v>66</v>
      </c>
      <c r="I46" s="103"/>
      <c r="J46" s="103"/>
      <c r="K46" s="119" t="s">
        <v>142</v>
      </c>
      <c r="L46" s="103"/>
      <c r="M46" s="103"/>
      <c r="N46" s="103"/>
      <c r="O46" s="100" t="n">
        <v>2</v>
      </c>
      <c r="P46" s="103"/>
      <c r="Q46" s="103"/>
      <c r="R46" s="103"/>
      <c r="S46" s="103"/>
      <c r="T46" s="103"/>
      <c r="U46" s="251" t="n">
        <v>1</v>
      </c>
      <c r="V46" s="151" t="s">
        <v>61</v>
      </c>
      <c r="W46" s="2"/>
      <c r="AT46" s="90"/>
      <c r="AU46" s="252" t="s">
        <v>103</v>
      </c>
      <c r="AV46" s="279" t="s">
        <v>143</v>
      </c>
      <c r="AW46" s="118" t="s">
        <v>30</v>
      </c>
      <c r="AX46" s="118" t="n">
        <f aca="false">0.5*(BF46+BG46+BH46)+BI46+BK46+2*(BL46+BM46)</f>
        <v>0</v>
      </c>
      <c r="AY46" s="118" t="n">
        <f aca="false">BF46*0.5+BG46*0.5+BH46*0.5+BI46+BJ46+BK46+2*(BL46+BM46+BN46)</f>
        <v>0</v>
      </c>
      <c r="AZ46" s="164"/>
      <c r="BA46" s="7" t="s">
        <v>42</v>
      </c>
      <c r="BB46" s="280"/>
      <c r="BC46" s="7"/>
      <c r="BD46" s="7"/>
      <c r="BE46" s="50" t="s">
        <v>144</v>
      </c>
      <c r="BF46" s="99"/>
      <c r="BG46" s="99"/>
      <c r="BH46" s="99"/>
      <c r="BI46" s="174"/>
      <c r="BJ46" s="133"/>
      <c r="BK46" s="265"/>
      <c r="BL46" s="133"/>
      <c r="BM46" s="133"/>
      <c r="BN46" s="174"/>
      <c r="BO46" s="108" t="n">
        <v>1</v>
      </c>
      <c r="BP46" s="103"/>
      <c r="BQ46" s="90"/>
      <c r="BR46" s="268" t="s">
        <v>129</v>
      </c>
      <c r="BS46" s="93" t="s">
        <v>145</v>
      </c>
      <c r="BT46" s="118" t="s">
        <v>30</v>
      </c>
      <c r="BU46" s="118" t="n">
        <f aca="false">0.5*(CC46+CD46+CE46)+CF46+CH46+2*(CI46+CJ46)</f>
        <v>0</v>
      </c>
      <c r="BV46" s="118" t="n">
        <f aca="false">CC46*0.5+CD46*0.5+CE46*0.5+CF46+CG46+CH46+2*(CI46+CJ46+CK46)</f>
        <v>0</v>
      </c>
      <c r="BW46" s="281"/>
      <c r="BX46" s="282" t="s">
        <v>51</v>
      </c>
      <c r="BY46" s="282"/>
      <c r="BZ46" s="283" t="s">
        <v>48</v>
      </c>
      <c r="CA46" s="50"/>
      <c r="CB46" s="282" t="s">
        <v>146</v>
      </c>
      <c r="CC46" s="284"/>
      <c r="CD46" s="284"/>
      <c r="CE46" s="284"/>
      <c r="CF46" s="284"/>
      <c r="CG46" s="284"/>
      <c r="CH46" s="284"/>
      <c r="CI46" s="284"/>
      <c r="CJ46" s="284"/>
      <c r="CK46" s="284"/>
      <c r="CL46" s="108" t="n">
        <v>1</v>
      </c>
      <c r="CM46" s="109"/>
      <c r="CN46" s="90"/>
      <c r="CO46" s="257" t="s">
        <v>117</v>
      </c>
      <c r="CP46" s="93" t="s">
        <v>147</v>
      </c>
      <c r="CQ46" s="94" t="s">
        <v>36</v>
      </c>
      <c r="CR46" s="95" t="n">
        <f aca="false">0.5*(CZ46+DA46+DB46)+DC46+DE46+2*(DF46+DG46)</f>
        <v>0.5</v>
      </c>
      <c r="CS46" s="95" t="n">
        <f aca="false">CZ46*0.5+DA46*0.5+DB46*0.5+DC46+DD46+DE46+2*(DF46+DG46+DH46)</f>
        <v>0.5</v>
      </c>
      <c r="CT46" s="7"/>
      <c r="CU46" s="7" t="s">
        <v>42</v>
      </c>
      <c r="CV46" s="7"/>
      <c r="CW46" s="7"/>
      <c r="CX46" s="50"/>
      <c r="CY46" s="7" t="s">
        <v>110</v>
      </c>
      <c r="CZ46" s="266"/>
      <c r="DA46" s="100" t="n">
        <v>1</v>
      </c>
      <c r="DB46" s="266"/>
      <c r="DC46" s="266"/>
      <c r="DD46" s="266"/>
      <c r="DE46" s="266"/>
      <c r="DF46" s="266"/>
      <c r="DG46" s="266"/>
      <c r="DH46" s="266"/>
      <c r="DI46" s="108" t="n">
        <v>1</v>
      </c>
      <c r="DJ46" s="7"/>
    </row>
    <row r="47" customFormat="false" ht="261" hidden="false" customHeight="true" outlineLevel="0" collapsed="false">
      <c r="A47" s="247" t="s">
        <v>100</v>
      </c>
      <c r="B47" s="93" t="s">
        <v>148</v>
      </c>
      <c r="C47" s="118" t="s">
        <v>30</v>
      </c>
      <c r="D47" s="118" t="n">
        <f aca="false">0.5*(L47+M47+N47)+O47+Q47+2*(R47+S47)</f>
        <v>0.5</v>
      </c>
      <c r="E47" s="118" t="n">
        <f aca="false">L47*0.5+M47*0.5+N47*0.5+O47+P47+Q47+2*(R47+S47+T47)</f>
        <v>0.5</v>
      </c>
      <c r="F47" s="7" t="e">
        <f aca="false">#VALUE!</f>
        <v>#VALUE!</v>
      </c>
      <c r="G47" s="7" t="s">
        <v>70</v>
      </c>
      <c r="H47" s="271"/>
      <c r="I47" s="107" t="s">
        <v>48</v>
      </c>
      <c r="J47" s="50"/>
      <c r="K47" s="114" t="s">
        <v>4</v>
      </c>
      <c r="L47" s="100" t="n">
        <v>1</v>
      </c>
      <c r="M47" s="258"/>
      <c r="N47" s="258"/>
      <c r="O47" s="258"/>
      <c r="P47" s="258"/>
      <c r="Q47" s="205"/>
      <c r="U47" s="251" t="n">
        <v>1</v>
      </c>
      <c r="V47" s="151" t="s">
        <v>61</v>
      </c>
      <c r="W47" s="205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90"/>
      <c r="AU47" s="252" t="s">
        <v>103</v>
      </c>
      <c r="AV47" s="105" t="s">
        <v>149</v>
      </c>
      <c r="AW47" s="94" t="s">
        <v>30</v>
      </c>
      <c r="AX47" s="95" t="n">
        <f aca="false">0.5*(BF47+BG47+BH47)+BI47+BK47+2*(BL47+BM47)</f>
        <v>0</v>
      </c>
      <c r="AY47" s="95" t="n">
        <f aca="false">BF47*0.5+BG47*0.5+BH47*0.5+BI47+BJ47+BK47+2*(BL47+BM47+BN47)</f>
        <v>0</v>
      </c>
      <c r="AZ47" s="152"/>
      <c r="BA47" s="50" t="s">
        <v>42</v>
      </c>
      <c r="BB47" s="285"/>
      <c r="BC47" s="7"/>
      <c r="BD47" s="185" t="s">
        <v>14</v>
      </c>
      <c r="BE47" s="153" t="s">
        <v>150</v>
      </c>
      <c r="BF47" s="99"/>
      <c r="BG47" s="99"/>
      <c r="BH47" s="99"/>
      <c r="BI47" s="99"/>
      <c r="BJ47" s="99"/>
      <c r="BK47" s="99"/>
      <c r="BL47" s="99"/>
      <c r="BM47" s="99"/>
      <c r="BN47" s="99"/>
      <c r="BO47" s="108" t="n">
        <v>1</v>
      </c>
      <c r="BP47" s="138"/>
      <c r="BQ47" s="90"/>
      <c r="BR47" s="268" t="s">
        <v>129</v>
      </c>
      <c r="BS47" s="93" t="s">
        <v>151</v>
      </c>
      <c r="BT47" s="118" t="s">
        <v>30</v>
      </c>
      <c r="BU47" s="118" t="n">
        <f aca="false">0.5*(CC47+CD47+CE47)+CF47+CH47+2*(CI47+CJ47)</f>
        <v>2.5</v>
      </c>
      <c r="BV47" s="118" t="n">
        <f aca="false">CC47*0.5+CD47*0.5+CE47*0.5+CF47+CG47+CH47+2*(CI47+CJ47+CK47)</f>
        <v>4.5</v>
      </c>
      <c r="BW47" s="281"/>
      <c r="BX47" s="119" t="s">
        <v>42</v>
      </c>
      <c r="BY47" s="282"/>
      <c r="BZ47" s="286"/>
      <c r="CA47" s="286"/>
      <c r="CB47" s="282" t="s">
        <v>152</v>
      </c>
      <c r="CC47" s="256" t="n">
        <v>1</v>
      </c>
      <c r="CD47" s="284"/>
      <c r="CE47" s="284"/>
      <c r="CF47" s="284"/>
      <c r="CG47" s="284"/>
      <c r="CH47" s="256" t="n">
        <v>2</v>
      </c>
      <c r="CI47" s="284"/>
      <c r="CJ47" s="284"/>
      <c r="CK47" s="101" t="n">
        <v>1</v>
      </c>
      <c r="CL47" s="108" t="n">
        <v>1</v>
      </c>
      <c r="CM47" s="109"/>
      <c r="CN47" s="90"/>
      <c r="CO47" s="257" t="s">
        <v>117</v>
      </c>
      <c r="CP47" s="287" t="s">
        <v>153</v>
      </c>
      <c r="CQ47" s="94" t="s">
        <v>36</v>
      </c>
      <c r="CR47" s="95" t="n">
        <f aca="false">0.5*(CZ47+DA47+DB47)+DC47+DE47+2*(DF47+DG47)</f>
        <v>2</v>
      </c>
      <c r="CS47" s="95" t="n">
        <f aca="false">CZ47*0.5+DA47*0.5+DB47*0.5+DC47+DD47+DE47+2*(DF47+DG47+DH47)</f>
        <v>2</v>
      </c>
      <c r="CT47" s="50"/>
      <c r="CU47" s="7" t="s">
        <v>51</v>
      </c>
      <c r="CV47" s="7"/>
      <c r="CW47" s="7"/>
      <c r="CX47" s="153"/>
      <c r="CY47" s="153" t="s">
        <v>88</v>
      </c>
      <c r="CZ47" s="99"/>
      <c r="DA47" s="99"/>
      <c r="DB47" s="99"/>
      <c r="DC47" s="99"/>
      <c r="DD47" s="137"/>
      <c r="DE47" s="133"/>
      <c r="DF47" s="100" t="n">
        <v>1</v>
      </c>
      <c r="DG47" s="99"/>
      <c r="DH47" s="99"/>
      <c r="DI47" s="108" t="n">
        <v>1</v>
      </c>
      <c r="DJ47" s="194"/>
      <c r="DK47" s="11"/>
      <c r="DL47" s="11"/>
      <c r="DM47" s="11"/>
      <c r="DN47" s="11"/>
      <c r="DO47" s="11"/>
    </row>
    <row r="48" customFormat="false" ht="295.5" hidden="false" customHeight="true" outlineLevel="0" collapsed="false">
      <c r="A48" s="247" t="s">
        <v>100</v>
      </c>
      <c r="B48" s="288" t="s">
        <v>154</v>
      </c>
      <c r="C48" s="118" t="s">
        <v>30</v>
      </c>
      <c r="D48" s="118" t="n">
        <f aca="false">0.5*(L48+M48+N48)+O48+Q48+2*(R48+S48)</f>
        <v>0</v>
      </c>
      <c r="E48" s="118" t="n">
        <f aca="false">L48*0.5+M48*0.5+N48*0.5+O48+P48+Q48+2*(R48+S48+T48)</f>
        <v>2</v>
      </c>
      <c r="F48" s="206"/>
      <c r="G48" s="7" t="s">
        <v>42</v>
      </c>
      <c r="H48" s="289"/>
      <c r="I48" s="289"/>
      <c r="J48" s="289"/>
      <c r="K48" s="290" t="s">
        <v>155</v>
      </c>
      <c r="L48" s="289"/>
      <c r="M48" s="289"/>
      <c r="N48" s="289"/>
      <c r="O48" s="289"/>
      <c r="P48" s="291"/>
      <c r="Q48" s="289"/>
      <c r="R48" s="289"/>
      <c r="S48" s="289"/>
      <c r="T48" s="101" t="n">
        <v>1</v>
      </c>
      <c r="U48" s="251" t="n">
        <v>1</v>
      </c>
      <c r="V48" s="151" t="s">
        <v>61</v>
      </c>
      <c r="W48" s="205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90"/>
      <c r="AU48" s="252" t="s">
        <v>103</v>
      </c>
      <c r="AV48" s="105" t="s">
        <v>156</v>
      </c>
      <c r="AW48" s="94" t="s">
        <v>30</v>
      </c>
      <c r="AX48" s="95" t="n">
        <f aca="false">0.5*(BF48+BG48+BH48)+BI48+BK48+2*(BL48+BM48)</f>
        <v>0</v>
      </c>
      <c r="AY48" s="95" t="n">
        <f aca="false">BF48*0.5+BG48*0.5+BH48*0.5+BI48+BJ48+BK48+2*(BL48+BM48+BN48)</f>
        <v>0</v>
      </c>
      <c r="AZ48" s="152"/>
      <c r="BA48" s="292" t="s">
        <v>42</v>
      </c>
      <c r="BB48" s="293"/>
      <c r="BC48" s="7"/>
      <c r="BD48" s="185" t="s">
        <v>14</v>
      </c>
      <c r="BE48" s="7" t="s">
        <v>157</v>
      </c>
      <c r="BF48" s="196"/>
      <c r="BG48" s="196"/>
      <c r="BH48" s="196"/>
      <c r="BI48" s="196"/>
      <c r="BJ48" s="196"/>
      <c r="BK48" s="196"/>
      <c r="BL48" s="196"/>
      <c r="BM48" s="196"/>
      <c r="BN48" s="196"/>
      <c r="BO48" s="108" t="n">
        <v>1</v>
      </c>
      <c r="BP48" s="194"/>
      <c r="BQ48" s="90"/>
      <c r="BR48" s="268" t="s">
        <v>129</v>
      </c>
      <c r="BS48" s="93" t="s">
        <v>158</v>
      </c>
      <c r="BT48" s="118" t="s">
        <v>30</v>
      </c>
      <c r="BU48" s="95" t="n">
        <f aca="false">0.5*(CC48+CD48+CE48)+CF48+CH48+2*(CI48+CJ48)</f>
        <v>1</v>
      </c>
      <c r="BV48" s="95" t="n">
        <f aca="false">CC48*0.5+CD48*0.5+CE48*0.5+CF48+CG48+CH48+2*(CI48+CJ48+CK48)</f>
        <v>3</v>
      </c>
      <c r="BW48" s="294"/>
      <c r="BX48" s="50" t="s">
        <v>42</v>
      </c>
      <c r="BY48" s="97"/>
      <c r="BZ48" s="107" t="s">
        <v>48</v>
      </c>
      <c r="CA48" s="153"/>
      <c r="CB48" s="50"/>
      <c r="CC48" s="196"/>
      <c r="CD48" s="196"/>
      <c r="CE48" s="196"/>
      <c r="CF48" s="100" t="n">
        <v>1</v>
      </c>
      <c r="CG48" s="196"/>
      <c r="CH48" s="196"/>
      <c r="CI48" s="196"/>
      <c r="CJ48" s="295"/>
      <c r="CK48" s="101" t="n">
        <v>1</v>
      </c>
      <c r="CL48" s="296" t="n">
        <v>1</v>
      </c>
      <c r="CM48" s="109"/>
      <c r="CN48" s="90"/>
      <c r="CO48" s="257" t="s">
        <v>117</v>
      </c>
      <c r="CP48" s="156" t="s">
        <v>159</v>
      </c>
      <c r="CQ48" s="94" t="s">
        <v>77</v>
      </c>
      <c r="CR48" s="95" t="n">
        <f aca="false">0.5*(CZ48+DA48+DB48)+DC48+DE48+2*(DF48+DG48)</f>
        <v>3</v>
      </c>
      <c r="CS48" s="95" t="n">
        <f aca="false">CZ48*0.5+DA48*0.5+DB48*0.5+DC48+DD48+DE48+2*(DF48+DG48+DH48)</f>
        <v>3</v>
      </c>
      <c r="CT48" s="50"/>
      <c r="CU48" s="258" t="s">
        <v>51</v>
      </c>
      <c r="CV48" s="179"/>
      <c r="CW48" s="176" t="s">
        <v>48</v>
      </c>
      <c r="CX48" s="50"/>
      <c r="CY48" s="50" t="s">
        <v>88</v>
      </c>
      <c r="CZ48" s="196"/>
      <c r="DA48" s="196"/>
      <c r="DB48" s="196"/>
      <c r="DC48" s="100" t="n">
        <v>1</v>
      </c>
      <c r="DD48" s="196"/>
      <c r="DE48" s="196"/>
      <c r="DF48" s="100" t="n">
        <v>1</v>
      </c>
      <c r="DG48" s="99"/>
      <c r="DH48" s="196"/>
      <c r="DI48" s="108" t="n">
        <v>1</v>
      </c>
      <c r="DJ48" s="103"/>
      <c r="DK48" s="11"/>
      <c r="DL48" s="11"/>
      <c r="DM48" s="11"/>
      <c r="DN48" s="11"/>
      <c r="DO48" s="11"/>
    </row>
    <row r="49" customFormat="false" ht="240" hidden="false" customHeight="true" outlineLevel="0" collapsed="false">
      <c r="A49" s="247" t="s">
        <v>100</v>
      </c>
      <c r="B49" s="93" t="s">
        <v>160</v>
      </c>
      <c r="C49" s="118" t="s">
        <v>30</v>
      </c>
      <c r="D49" s="118" t="n">
        <f aca="false">0.5*(L49+M49+N49)+O49+Q49+2*(R49+S49)</f>
        <v>1</v>
      </c>
      <c r="E49" s="118" t="n">
        <f aca="false">L49*0.5+M49*0.5+N49*0.5+O49+P49+Q49+2*(R49+S49+T49)</f>
        <v>1</v>
      </c>
      <c r="F49" s="297"/>
      <c r="G49" s="7" t="s">
        <v>42</v>
      </c>
      <c r="H49" s="7"/>
      <c r="I49" s="107" t="s">
        <v>48</v>
      </c>
      <c r="J49" s="254" t="s">
        <v>14</v>
      </c>
      <c r="K49" s="50" t="s">
        <v>112</v>
      </c>
      <c r="O49" s="298"/>
      <c r="P49" s="144"/>
      <c r="Q49" s="255" t="n">
        <v>1</v>
      </c>
      <c r="U49" s="251" t="n">
        <v>1</v>
      </c>
      <c r="V49" s="151" t="s">
        <v>61</v>
      </c>
      <c r="W49" s="205"/>
      <c r="AT49" s="205"/>
      <c r="AU49" s="252" t="s">
        <v>103</v>
      </c>
      <c r="AV49" s="279" t="s">
        <v>161</v>
      </c>
      <c r="AW49" s="118" t="s">
        <v>30</v>
      </c>
      <c r="AX49" s="95" t="n">
        <f aca="false">0.5*(BF49+BG49+BH49)+BI49+BK49+2*(BL49+BM49)</f>
        <v>0</v>
      </c>
      <c r="AY49" s="95" t="n">
        <f aca="false">BF49*0.5+BG49*0.5+BH49*0.5+BI49+BJ49+BK49+2*(BL49+BM49+BN49)</f>
        <v>0</v>
      </c>
      <c r="AZ49" s="299"/>
      <c r="BA49" s="7" t="s">
        <v>42</v>
      </c>
      <c r="BB49" s="119"/>
      <c r="BC49" s="119"/>
      <c r="BD49" s="119"/>
      <c r="BE49" s="119"/>
      <c r="BF49" s="121"/>
      <c r="BG49" s="121"/>
      <c r="BH49" s="121"/>
      <c r="BI49" s="121"/>
      <c r="BJ49" s="121"/>
      <c r="BK49" s="121"/>
      <c r="BL49" s="121"/>
      <c r="BM49" s="121"/>
      <c r="BN49" s="121"/>
      <c r="BO49" s="125" t="n">
        <v>1</v>
      </c>
      <c r="BP49" s="119"/>
      <c r="BQ49" s="205"/>
      <c r="BR49" s="268" t="s">
        <v>129</v>
      </c>
      <c r="BS49" s="93" t="s">
        <v>162</v>
      </c>
      <c r="BT49" s="118" t="s">
        <v>30</v>
      </c>
      <c r="BU49" s="95" t="n">
        <f aca="false">0.5*(CC49+CD49+CE49)+CF49+CH49+2*(CI49+CJ49)</f>
        <v>1.5</v>
      </c>
      <c r="BV49" s="95" t="n">
        <f aca="false">CC49*0.5+CD49*0.5+CE49*0.5+CF49+CG49+CH49+2*(CI49+CJ49+CK49)</f>
        <v>1.5</v>
      </c>
      <c r="BW49" s="294"/>
      <c r="BX49" s="50" t="s">
        <v>42</v>
      </c>
      <c r="BY49" s="97"/>
      <c r="BZ49" s="107" t="s">
        <v>48</v>
      </c>
      <c r="CA49" s="153"/>
      <c r="CB49" s="50" t="s">
        <v>163</v>
      </c>
      <c r="CC49" s="100" t="n">
        <v>3</v>
      </c>
      <c r="CD49" s="196"/>
      <c r="CE49" s="196"/>
      <c r="CF49" s="196"/>
      <c r="CG49" s="196"/>
      <c r="CH49" s="196"/>
      <c r="CI49" s="196"/>
      <c r="CJ49" s="196"/>
      <c r="CK49" s="300"/>
      <c r="CL49" s="108" t="n">
        <v>1</v>
      </c>
      <c r="CM49" s="109"/>
      <c r="CN49" s="90"/>
      <c r="CO49" s="257" t="s">
        <v>117</v>
      </c>
      <c r="CP49" s="156" t="s">
        <v>164</v>
      </c>
      <c r="CQ49" s="94" t="s">
        <v>77</v>
      </c>
      <c r="CR49" s="95" t="n">
        <f aca="false">0.5*(CZ49+DA49+DB49)+DC49+DE49+2*(DF49+DG49)</f>
        <v>0</v>
      </c>
      <c r="CS49" s="95" t="n">
        <f aca="false">CZ49*0.5+DA49*0.5+DB49*0.5+DC49+DD49+DE49+2*(DF49+DG49+DH49)</f>
        <v>0</v>
      </c>
      <c r="CT49" s="7"/>
      <c r="CU49" s="7" t="s">
        <v>42</v>
      </c>
      <c r="CV49" s="7"/>
      <c r="CW49" s="7"/>
      <c r="CX49" s="50"/>
      <c r="CY49" s="50" t="s">
        <v>165</v>
      </c>
      <c r="CZ49" s="196"/>
      <c r="DA49" s="196"/>
      <c r="DB49" s="196"/>
      <c r="DC49" s="196"/>
      <c r="DD49" s="300"/>
      <c r="DE49" s="196"/>
      <c r="DF49" s="301"/>
      <c r="DG49" s="196"/>
      <c r="DH49" s="196"/>
      <c r="DI49" s="302" t="n">
        <v>1</v>
      </c>
      <c r="DJ49" s="103"/>
    </row>
    <row r="50" customFormat="false" ht="234.75" hidden="false" customHeight="true" outlineLevel="0" collapsed="false">
      <c r="A50" s="247" t="s">
        <v>100</v>
      </c>
      <c r="B50" s="93" t="s">
        <v>166</v>
      </c>
      <c r="C50" s="118" t="s">
        <v>30</v>
      </c>
      <c r="D50" s="118" t="n">
        <f aca="false">0.5*(L50+M50+N50)+O50+Q50+2*(R50+S50)</f>
        <v>0</v>
      </c>
      <c r="E50" s="118" t="n">
        <f aca="false">L50*0.5+M50*0.5+N50*0.5+O50+P50+Q50+2*(R50+S50+T50)</f>
        <v>2</v>
      </c>
      <c r="F50" s="7" t="e">
        <f aca="false">#VALUE!</f>
        <v>#VALUE!</v>
      </c>
      <c r="G50" s="7" t="s">
        <v>42</v>
      </c>
      <c r="H50" s="7"/>
      <c r="I50" s="107" t="s">
        <v>48</v>
      </c>
      <c r="J50" s="50"/>
      <c r="K50" s="50" t="s">
        <v>167</v>
      </c>
      <c r="L50" s="50"/>
      <c r="M50" s="50"/>
      <c r="N50" s="50"/>
      <c r="O50" s="144"/>
      <c r="P50" s="50"/>
      <c r="Q50" s="50"/>
      <c r="R50" s="50"/>
      <c r="S50" s="50"/>
      <c r="T50" s="101" t="n">
        <v>1</v>
      </c>
      <c r="U50" s="251" t="n">
        <v>1</v>
      </c>
      <c r="V50" s="151" t="s">
        <v>61</v>
      </c>
      <c r="W50" s="205"/>
      <c r="AT50" s="205"/>
      <c r="AU50" s="252" t="s">
        <v>103</v>
      </c>
      <c r="AV50" s="272" t="s">
        <v>168</v>
      </c>
      <c r="AW50" s="118" t="s">
        <v>30</v>
      </c>
      <c r="AX50" s="95" t="n">
        <f aca="false">0.5*(BF50+BG50+BH50)+BI50+BK50+2*(BL50+BM50)</f>
        <v>0</v>
      </c>
      <c r="AY50" s="95" t="n">
        <f aca="false">BF50*0.5+BG50*0.5+BH50*0.5+BI50+BJ50+BK50+2*(BL50+BM50+BN50)</f>
        <v>0</v>
      </c>
      <c r="AZ50" s="303"/>
      <c r="BA50" s="304" t="s">
        <v>42</v>
      </c>
      <c r="BB50" s="304"/>
      <c r="BC50" s="305"/>
      <c r="BD50" s="103"/>
      <c r="BE50" s="274" t="s">
        <v>169</v>
      </c>
      <c r="BF50" s="300"/>
      <c r="BG50" s="300"/>
      <c r="BH50" s="300"/>
      <c r="BI50" s="300"/>
      <c r="BJ50" s="300"/>
      <c r="BK50" s="300"/>
      <c r="BL50" s="300"/>
      <c r="BM50" s="300"/>
      <c r="BN50" s="300"/>
      <c r="BO50" s="108" t="n">
        <v>1</v>
      </c>
      <c r="BP50" s="109"/>
      <c r="BQ50" s="205"/>
      <c r="BR50" s="306" t="s">
        <v>170</v>
      </c>
      <c r="BS50" s="93" t="s">
        <v>171</v>
      </c>
      <c r="BT50" s="94" t="s">
        <v>36</v>
      </c>
      <c r="BU50" s="95" t="n">
        <f aca="false">0.5*(CC50+CD50+CE50)+CF50+CH50+2*(CI50+CJ50)</f>
        <v>3</v>
      </c>
      <c r="BV50" s="95" t="n">
        <f aca="false">CC50*0.5+CD50*0.5+CE50*0.5+CF50+CG50+CH50+2*(CI50+CJ50+CK50)</f>
        <v>3</v>
      </c>
      <c r="BW50" s="50" t="e">
        <f aca="false">#VALUE!</f>
        <v>#VALUE!</v>
      </c>
      <c r="BX50" s="7" t="s">
        <v>78</v>
      </c>
      <c r="BY50" s="7"/>
      <c r="BZ50" s="107" t="s">
        <v>48</v>
      </c>
      <c r="CA50" s="98"/>
      <c r="CB50" s="153" t="s">
        <v>110</v>
      </c>
      <c r="CC50" s="307"/>
      <c r="CD50" s="307"/>
      <c r="CE50" s="307"/>
      <c r="CF50" s="100" t="n">
        <v>1</v>
      </c>
      <c r="CG50" s="307"/>
      <c r="CH50" s="307"/>
      <c r="CI50" s="100" t="n">
        <v>1</v>
      </c>
      <c r="CJ50" s="307"/>
      <c r="CK50" s="307"/>
      <c r="CL50" s="308" t="n">
        <v>1</v>
      </c>
      <c r="CM50" s="109"/>
      <c r="CN50" s="90"/>
      <c r="CO50" s="309" t="s">
        <v>117</v>
      </c>
      <c r="CP50" s="310" t="s">
        <v>172</v>
      </c>
      <c r="CQ50" s="311" t="s">
        <v>77</v>
      </c>
      <c r="CR50" s="312" t="n">
        <f aca="false">0.5*(CZ50+DA50+DB50)+DC50+DE50+2*(DF50+DG50)</f>
        <v>0</v>
      </c>
      <c r="CS50" s="312" t="n">
        <f aca="false">CZ50*0.5+DA50*0.5+DB50*0.5+DC50+DD50+DE50+2*(DF50+DG50+DH50)</f>
        <v>0</v>
      </c>
      <c r="CT50" s="313"/>
      <c r="CU50" s="314" t="s">
        <v>173</v>
      </c>
      <c r="CV50" s="315"/>
      <c r="CW50" s="315"/>
      <c r="CX50" s="315"/>
      <c r="CY50" s="316" t="s">
        <v>174</v>
      </c>
      <c r="CZ50" s="315"/>
      <c r="DA50" s="315"/>
      <c r="DB50" s="315"/>
      <c r="DC50" s="315"/>
      <c r="DD50" s="315"/>
      <c r="DE50" s="315"/>
      <c r="DF50" s="315"/>
      <c r="DG50" s="315"/>
      <c r="DH50" s="315"/>
      <c r="DI50" s="317" t="n">
        <v>1</v>
      </c>
      <c r="DJ50" s="151" t="s">
        <v>61</v>
      </c>
    </row>
    <row r="51" customFormat="false" ht="196.5" hidden="false" customHeight="true" outlineLevel="0" collapsed="false">
      <c r="A51" s="247" t="s">
        <v>100</v>
      </c>
      <c r="B51" s="93" t="s">
        <v>175</v>
      </c>
      <c r="C51" s="118" t="s">
        <v>30</v>
      </c>
      <c r="D51" s="118" t="n">
        <f aca="false">0.5*(L51+M51+N51)+O51+Q51+2*(R51+S51)</f>
        <v>1</v>
      </c>
      <c r="E51" s="118" t="n">
        <f aca="false">L51*0.5+M51*0.5+N51*0.5+O51+P51+Q51+2*(R51+S51+T51)</f>
        <v>1</v>
      </c>
      <c r="F51" s="164"/>
      <c r="G51" s="7" t="s">
        <v>42</v>
      </c>
      <c r="H51" s="7"/>
      <c r="I51" s="259"/>
      <c r="J51" s="50"/>
      <c r="K51" s="50" t="s">
        <v>88</v>
      </c>
      <c r="L51" s="50"/>
      <c r="M51" s="50"/>
      <c r="N51" s="50"/>
      <c r="O51" s="255" t="n">
        <v>1</v>
      </c>
      <c r="P51" s="50"/>
      <c r="Q51" s="50"/>
      <c r="R51" s="50"/>
      <c r="S51" s="50"/>
      <c r="T51" s="50"/>
      <c r="U51" s="251" t="n">
        <v>1</v>
      </c>
      <c r="V51" s="151" t="s">
        <v>61</v>
      </c>
      <c r="W51" s="205"/>
      <c r="AT51" s="205"/>
      <c r="AU51" s="252" t="s">
        <v>103</v>
      </c>
      <c r="AV51" s="105" t="s">
        <v>176</v>
      </c>
      <c r="AW51" s="118" t="s">
        <v>30</v>
      </c>
      <c r="AX51" s="95" t="n">
        <f aca="false">0.5*(BF51+BG51+BH51)+BI51+BK51+2*(BL51+BM51)</f>
        <v>0</v>
      </c>
      <c r="AY51" s="95" t="n">
        <f aca="false">BF51*0.5+BG51*0.5+BH51*0.5+BI51+BJ51+BK51+2*(BL51+BM51+BN51)</f>
        <v>0</v>
      </c>
      <c r="AZ51" s="50" t="e">
        <f aca="false">#VALUE!</f>
        <v>#VALUE!</v>
      </c>
      <c r="BA51" s="259" t="s">
        <v>42</v>
      </c>
      <c r="BB51" s="318"/>
      <c r="BC51" s="107" t="s">
        <v>48</v>
      </c>
      <c r="BD51" s="98"/>
      <c r="BE51" s="98" t="s">
        <v>177</v>
      </c>
      <c r="BF51" s="99"/>
      <c r="BG51" s="99"/>
      <c r="BH51" s="99"/>
      <c r="BI51" s="99"/>
      <c r="BJ51" s="99"/>
      <c r="BK51" s="99"/>
      <c r="BL51" s="99"/>
      <c r="BM51" s="99"/>
      <c r="BN51" s="99"/>
      <c r="BO51" s="108" t="n">
        <v>1</v>
      </c>
      <c r="BP51" s="109"/>
      <c r="BQ51" s="205"/>
      <c r="BR51" s="319" t="s">
        <v>178</v>
      </c>
      <c r="BS51" s="93" t="s">
        <v>179</v>
      </c>
      <c r="BT51" s="94" t="s">
        <v>36</v>
      </c>
      <c r="BU51" s="95" t="n">
        <f aca="false">0.5*(CC51+CD51+CE51)+CF51+CH51+2*(CI51+CJ51)</f>
        <v>1</v>
      </c>
      <c r="BV51" s="95" t="n">
        <f aca="false">CC51*0.5+CD51*0.5+CE51*0.5+CF51+CG51+CH51+2*(CI51+CJ51+CK51)</f>
        <v>1</v>
      </c>
      <c r="BW51" s="168" t="e">
        <f aca="false">#VALUE!</f>
        <v>#VALUE!</v>
      </c>
      <c r="BX51" s="7" t="s">
        <v>51</v>
      </c>
      <c r="BY51" s="320"/>
      <c r="BZ51" s="107" t="s">
        <v>48</v>
      </c>
      <c r="CA51" s="98"/>
      <c r="CB51" s="98" t="s">
        <v>180</v>
      </c>
      <c r="CC51" s="99"/>
      <c r="CD51" s="99"/>
      <c r="CE51" s="99"/>
      <c r="CF51" s="99"/>
      <c r="CG51" s="99"/>
      <c r="CH51" s="100" t="n">
        <v>1</v>
      </c>
      <c r="CI51" s="99"/>
      <c r="CJ51" s="99"/>
      <c r="CK51" s="99"/>
      <c r="CL51" s="108" t="n">
        <v>1</v>
      </c>
      <c r="CM51" s="109"/>
      <c r="CN51" s="205"/>
      <c r="CO51" s="205"/>
      <c r="CP51" s="205"/>
      <c r="CQ51" s="205"/>
      <c r="CR51" s="205"/>
      <c r="CS51" s="205"/>
      <c r="CT51" s="205"/>
      <c r="CU51" s="205"/>
      <c r="CV51" s="205"/>
      <c r="CW51" s="205"/>
      <c r="CX51" s="205"/>
      <c r="CY51" s="205"/>
      <c r="CZ51" s="205"/>
      <c r="DA51" s="205"/>
      <c r="DB51" s="205"/>
      <c r="DC51" s="205"/>
      <c r="DD51" s="205"/>
      <c r="DE51" s="205"/>
      <c r="DF51" s="205"/>
      <c r="DG51" s="205"/>
      <c r="DH51" s="205"/>
      <c r="DI51" s="205"/>
      <c r="DJ51" s="205"/>
    </row>
    <row r="52" customFormat="false" ht="181.5" hidden="false" customHeight="true" outlineLevel="0" collapsed="false">
      <c r="A52" s="247" t="s">
        <v>100</v>
      </c>
      <c r="B52" s="93" t="s">
        <v>181</v>
      </c>
      <c r="C52" s="118" t="s">
        <v>30</v>
      </c>
      <c r="D52" s="118" t="n">
        <f aca="false">0.5*(L52+M52+N52)+O52+Q52+2*(R52+S52)</f>
        <v>1.5</v>
      </c>
      <c r="E52" s="118" t="n">
        <f aca="false">L52*0.5+M52*0.5+N52*0.5+O52+P52+Q52+2*(R52+S52+T52)</f>
        <v>1.5</v>
      </c>
      <c r="F52" s="297"/>
      <c r="G52" s="7" t="s">
        <v>42</v>
      </c>
      <c r="H52" s="50"/>
      <c r="I52" s="107" t="s">
        <v>48</v>
      </c>
      <c r="J52" s="168"/>
      <c r="K52" s="106"/>
      <c r="M52" s="255" t="n">
        <v>1</v>
      </c>
      <c r="Q52" s="255" t="n">
        <v>1</v>
      </c>
      <c r="U52" s="251" t="n">
        <v>1</v>
      </c>
      <c r="V52" s="151" t="s">
        <v>61</v>
      </c>
      <c r="W52" s="205"/>
      <c r="AT52" s="205"/>
      <c r="AU52" s="252" t="s">
        <v>103</v>
      </c>
      <c r="AV52" s="321" t="s">
        <v>182</v>
      </c>
      <c r="AW52" s="118" t="s">
        <v>30</v>
      </c>
      <c r="AX52" s="95" t="n">
        <f aca="false">0.5*(BF52+BG52+BH52)+BI52+BK52+2*(BL52+BM52)</f>
        <v>0</v>
      </c>
      <c r="AY52" s="95" t="n">
        <f aca="false">BF52*0.5+BG52*0.5+BH52*0.5+BI52+BJ52+BK52+2*(BL52+BM52+BN52)</f>
        <v>0</v>
      </c>
      <c r="AZ52" s="322"/>
      <c r="BA52" s="323" t="s">
        <v>42</v>
      </c>
      <c r="BB52" s="205"/>
      <c r="BC52" s="107" t="s">
        <v>48</v>
      </c>
      <c r="BD52" s="324"/>
      <c r="BE52" s="324" t="s">
        <v>183</v>
      </c>
      <c r="BF52" s="99"/>
      <c r="BG52" s="99"/>
      <c r="BH52" s="99"/>
      <c r="BI52" s="99"/>
      <c r="BJ52" s="99"/>
      <c r="BK52" s="99"/>
      <c r="BL52" s="99"/>
      <c r="BM52" s="99"/>
      <c r="BN52" s="99"/>
      <c r="BO52" s="108" t="n">
        <v>1</v>
      </c>
      <c r="BP52" s="109"/>
      <c r="BQ52" s="205"/>
      <c r="BR52" s="319" t="s">
        <v>178</v>
      </c>
      <c r="BS52" s="168" t="s">
        <v>184</v>
      </c>
      <c r="BT52" s="325" t="s">
        <v>36</v>
      </c>
      <c r="BU52" s="326" t="n">
        <f aca="false">0.5*(CC52+CD52+CE52)+CF52+CH52+2*(CI52+CJ52)</f>
        <v>0.5</v>
      </c>
      <c r="BV52" s="326" t="n">
        <f aca="false">CC52*0.5+CD52*0.5+CE52*0.5+CF52+CG52+CH52+2*(CI52+CJ52+CK52)</f>
        <v>4.5</v>
      </c>
      <c r="BW52" s="327"/>
      <c r="BX52" s="328" t="s">
        <v>51</v>
      </c>
      <c r="BY52" s="329" t="s">
        <v>185</v>
      </c>
      <c r="BZ52" s="330"/>
      <c r="CA52" s="331"/>
      <c r="CB52" s="331" t="s">
        <v>186</v>
      </c>
      <c r="CC52" s="332"/>
      <c r="CD52" s="333" t="n">
        <v>1</v>
      </c>
      <c r="CE52" s="332"/>
      <c r="CF52" s="332"/>
      <c r="CG52" s="332"/>
      <c r="CH52" s="332"/>
      <c r="CI52" s="332"/>
      <c r="CJ52" s="334"/>
      <c r="CK52" s="101" t="n">
        <v>2</v>
      </c>
      <c r="CL52" s="335" t="n">
        <v>1</v>
      </c>
      <c r="CM52" s="336"/>
      <c r="CN52" s="205"/>
      <c r="CO52" s="205"/>
      <c r="CP52" s="205"/>
      <c r="CQ52" s="205"/>
      <c r="CR52" s="205"/>
      <c r="CS52" s="205"/>
      <c r="CT52" s="205"/>
      <c r="CU52" s="205"/>
      <c r="CV52" s="205"/>
      <c r="CW52" s="205"/>
      <c r="CX52" s="205"/>
      <c r="CY52" s="205"/>
      <c r="CZ52" s="205"/>
      <c r="DA52" s="205"/>
      <c r="DB52" s="205"/>
      <c r="DC52" s="205"/>
      <c r="DD52" s="205"/>
      <c r="DE52" s="205"/>
      <c r="DF52" s="205"/>
      <c r="DG52" s="205"/>
      <c r="DH52" s="205"/>
      <c r="DI52" s="205"/>
      <c r="DJ52" s="205"/>
      <c r="DK52" s="126"/>
      <c r="DL52" s="126"/>
    </row>
    <row r="53" customFormat="false" ht="237.75" hidden="false" customHeight="true" outlineLevel="0" collapsed="false">
      <c r="A53" s="247" t="s">
        <v>100</v>
      </c>
      <c r="B53" s="93" t="s">
        <v>187</v>
      </c>
      <c r="C53" s="118" t="s">
        <v>30</v>
      </c>
      <c r="D53" s="118" t="n">
        <f aca="false">0.5*(L53+M53+N53)+O53+Q53+2*(R53+S53)</f>
        <v>1</v>
      </c>
      <c r="E53" s="118" t="n">
        <f aca="false">L53*0.5+M53*0.5+N53*0.5+O53+P53+Q53+2*(R53+S53+T53)</f>
        <v>1</v>
      </c>
      <c r="F53" s="50"/>
      <c r="G53" s="7" t="s">
        <v>42</v>
      </c>
      <c r="H53" s="285"/>
      <c r="I53" s="107" t="s">
        <v>48</v>
      </c>
      <c r="J53" s="50"/>
      <c r="K53" s="7"/>
      <c r="L53" s="50"/>
      <c r="M53" s="255" t="n">
        <v>2</v>
      </c>
      <c r="N53" s="103"/>
      <c r="O53" s="50"/>
      <c r="P53" s="50"/>
      <c r="Q53" s="50"/>
      <c r="R53" s="50"/>
      <c r="S53" s="50"/>
      <c r="T53" s="50"/>
      <c r="U53" s="251" t="n">
        <v>1</v>
      </c>
      <c r="V53" s="151" t="s">
        <v>61</v>
      </c>
      <c r="W53" s="205"/>
      <c r="AT53" s="205"/>
      <c r="AU53" s="252" t="s">
        <v>103</v>
      </c>
      <c r="AV53" s="105" t="s">
        <v>188</v>
      </c>
      <c r="AW53" s="118" t="s">
        <v>30</v>
      </c>
      <c r="AX53" s="95" t="n">
        <f aca="false">0.5*(BF53+BG53+BH53)+BI53+BK53+2*(BL53+BM53)</f>
        <v>0</v>
      </c>
      <c r="AY53" s="95" t="n">
        <f aca="false">BF53*0.5+BG53*0.5+BH53*0.5+BI53+BJ53+BK53+2*(BL53+BM53+BN53)</f>
        <v>0</v>
      </c>
      <c r="AZ53" s="7" t="e">
        <f aca="false">#VALUE!</f>
        <v>#VALUE!</v>
      </c>
      <c r="BA53" s="7" t="s">
        <v>51</v>
      </c>
      <c r="BC53" s="7"/>
      <c r="BD53" s="50"/>
      <c r="BE53" s="7" t="s">
        <v>189</v>
      </c>
      <c r="BF53" s="99"/>
      <c r="BG53" s="99"/>
      <c r="BH53" s="99"/>
      <c r="BI53" s="99"/>
      <c r="BJ53" s="99"/>
      <c r="BK53" s="99"/>
      <c r="BL53" s="99"/>
      <c r="BM53" s="99"/>
      <c r="BN53" s="99"/>
      <c r="BO53" s="108" t="n">
        <v>1</v>
      </c>
      <c r="BP53" s="138"/>
      <c r="BQ53" s="205"/>
      <c r="BR53" s="337" t="s">
        <v>190</v>
      </c>
      <c r="BS53" s="93" t="s">
        <v>191</v>
      </c>
      <c r="BT53" s="94" t="s">
        <v>36</v>
      </c>
      <c r="BU53" s="95" t="n">
        <f aca="false">0.5*(CC53+CD53+CE53)+CF53+CH53+2*(CI53+CJ53)</f>
        <v>4</v>
      </c>
      <c r="BV53" s="95" t="n">
        <f aca="false">CC53*0.5+CD53*0.5+CE53*0.5+CF53+CG53+CH53+2*(CI53+CJ53+CK53)</f>
        <v>4</v>
      </c>
      <c r="BW53" s="142"/>
      <c r="BX53" s="7" t="s">
        <v>51</v>
      </c>
      <c r="BY53" s="50"/>
      <c r="BZ53" s="7"/>
      <c r="CA53" s="153"/>
      <c r="CB53" s="153" t="s">
        <v>88</v>
      </c>
      <c r="CC53" s="196"/>
      <c r="CD53" s="196"/>
      <c r="CE53" s="133"/>
      <c r="CF53" s="196"/>
      <c r="CG53" s="196"/>
      <c r="CH53" s="100" t="n">
        <v>2</v>
      </c>
      <c r="CI53" s="196"/>
      <c r="CJ53" s="101" t="n">
        <v>1</v>
      </c>
      <c r="CK53" s="196"/>
      <c r="CL53" s="108" t="n">
        <v>1</v>
      </c>
      <c r="CM53" s="151" t="s">
        <v>61</v>
      </c>
      <c r="CN53" s="205"/>
      <c r="CO53" s="205"/>
      <c r="CP53" s="205"/>
      <c r="CQ53" s="205"/>
      <c r="CR53" s="205"/>
      <c r="CS53" s="205"/>
      <c r="CT53" s="205"/>
      <c r="CU53" s="205"/>
      <c r="CV53" s="205"/>
      <c r="CW53" s="205"/>
      <c r="CX53" s="205"/>
      <c r="CY53" s="205"/>
      <c r="CZ53" s="205"/>
      <c r="DA53" s="205"/>
      <c r="DB53" s="205"/>
      <c r="DC53" s="205"/>
      <c r="DD53" s="205"/>
      <c r="DE53" s="205"/>
      <c r="DF53" s="205"/>
      <c r="DG53" s="205"/>
      <c r="DH53" s="205"/>
      <c r="DI53" s="205"/>
      <c r="DJ53" s="205"/>
      <c r="DK53" s="126"/>
      <c r="DL53" s="126"/>
    </row>
    <row r="54" customFormat="false" ht="258" hidden="false" customHeight="true" outlineLevel="0" collapsed="false">
      <c r="A54" s="205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AT54" s="205"/>
      <c r="AU54" s="252" t="s">
        <v>103</v>
      </c>
      <c r="AV54" s="105" t="s">
        <v>192</v>
      </c>
      <c r="AW54" s="118" t="s">
        <v>30</v>
      </c>
      <c r="AX54" s="95" t="n">
        <f aca="false">0.5*(BF54+BG54+BH54)+BI54+BK54+2*(BL54+BM54)</f>
        <v>0</v>
      </c>
      <c r="AY54" s="95" t="n">
        <f aca="false">BF54*0.5+BG54*0.5+BH54*0.5+BI54+BJ54+BK54+2*(BL54+BM54+BN54)</f>
        <v>0</v>
      </c>
      <c r="AZ54" s="164"/>
      <c r="BA54" s="7" t="s">
        <v>42</v>
      </c>
      <c r="BC54" s="7"/>
      <c r="BD54" s="50"/>
      <c r="BE54" s="50" t="s">
        <v>193</v>
      </c>
      <c r="BF54" s="99"/>
      <c r="BG54" s="99"/>
      <c r="BH54" s="99"/>
      <c r="BI54" s="99"/>
      <c r="BJ54" s="99"/>
      <c r="BK54" s="99"/>
      <c r="BL54" s="99"/>
      <c r="BM54" s="99"/>
      <c r="BN54" s="99"/>
      <c r="BO54" s="108" t="n">
        <v>1</v>
      </c>
      <c r="BP54" s="138"/>
      <c r="BQ54" s="205"/>
      <c r="BR54" s="205"/>
      <c r="BU54" s="205"/>
      <c r="BV54" s="205"/>
      <c r="BW54" s="205"/>
      <c r="BX54" s="241"/>
      <c r="BY54" s="205"/>
      <c r="BZ54" s="205"/>
      <c r="CA54" s="205"/>
      <c r="CB54" s="241"/>
      <c r="CC54" s="205"/>
      <c r="CD54" s="205"/>
      <c r="CE54" s="205"/>
      <c r="CF54" s="205"/>
      <c r="CG54" s="205"/>
      <c r="CH54" s="205"/>
      <c r="CI54" s="205"/>
      <c r="CJ54" s="205"/>
      <c r="CK54" s="205"/>
      <c r="CL54" s="205"/>
      <c r="CM54" s="205"/>
      <c r="CN54" s="205"/>
      <c r="CO54" s="205"/>
      <c r="CP54" s="338"/>
      <c r="CQ54" s="205"/>
      <c r="CR54" s="205"/>
      <c r="CS54" s="205"/>
      <c r="CT54" s="205"/>
      <c r="CU54" s="205"/>
      <c r="CV54" s="205"/>
      <c r="CW54" s="205"/>
      <c r="CX54" s="205"/>
      <c r="CY54" s="205"/>
      <c r="CZ54" s="205"/>
      <c r="DA54" s="205"/>
      <c r="DB54" s="205"/>
      <c r="DC54" s="205"/>
      <c r="DD54" s="205"/>
      <c r="DE54" s="205"/>
      <c r="DF54" s="205"/>
      <c r="DG54" s="205"/>
      <c r="DH54" s="205"/>
      <c r="DI54" s="205"/>
      <c r="DJ54" s="205"/>
      <c r="DK54" s="126"/>
      <c r="DL54" s="126"/>
    </row>
    <row r="55" customFormat="false" ht="177" hidden="false" customHeight="true" outlineLevel="0" collapsed="false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AT55" s="205"/>
      <c r="AU55" s="252" t="s">
        <v>103</v>
      </c>
      <c r="AV55" s="339" t="s">
        <v>194</v>
      </c>
      <c r="AW55" s="94" t="s">
        <v>30</v>
      </c>
      <c r="AX55" s="95" t="n">
        <f aca="false">0.5*(BF55+BG55+BH55)+BI55+BK55+2*(BL55+BM55)</f>
        <v>0</v>
      </c>
      <c r="AY55" s="95" t="n">
        <f aca="false">BF55*0.5+BG55*0.5+BH55*0.5+BI55+BJ55+BK55+2*(BL55+BM55+BN55)</f>
        <v>0</v>
      </c>
      <c r="AZ55" s="206"/>
      <c r="BA55" s="340" t="s">
        <v>173</v>
      </c>
      <c r="BB55" s="103"/>
      <c r="BC55" s="103"/>
      <c r="BD55" s="103"/>
      <c r="BE55" s="316" t="s">
        <v>174</v>
      </c>
      <c r="BF55" s="103"/>
      <c r="BG55" s="103"/>
      <c r="BH55" s="103"/>
      <c r="BI55" s="103"/>
      <c r="BJ55" s="103"/>
      <c r="BK55" s="103"/>
      <c r="BL55" s="103"/>
      <c r="BM55" s="103"/>
      <c r="BN55" s="103"/>
      <c r="BO55" s="145" t="n">
        <v>1</v>
      </c>
      <c r="BP55" s="151" t="s">
        <v>61</v>
      </c>
      <c r="BQ55" s="205"/>
      <c r="BR55" s="205"/>
      <c r="BU55" s="205"/>
      <c r="BV55" s="205"/>
      <c r="BW55" s="205"/>
      <c r="BX55" s="241"/>
      <c r="BY55" s="205"/>
      <c r="BZ55" s="205"/>
      <c r="CA55" s="205"/>
      <c r="CB55" s="241"/>
      <c r="CC55" s="205"/>
      <c r="CD55" s="205"/>
      <c r="CE55" s="205"/>
      <c r="CF55" s="205"/>
      <c r="CG55" s="205"/>
      <c r="CH55" s="205"/>
      <c r="CI55" s="205"/>
      <c r="CJ55" s="205"/>
      <c r="CK55" s="205"/>
      <c r="CL55" s="205"/>
      <c r="CM55" s="205"/>
      <c r="CN55" s="205"/>
      <c r="CO55" s="205"/>
      <c r="CP55" s="205"/>
      <c r="CQ55" s="205"/>
      <c r="CR55" s="205"/>
      <c r="CS55" s="205"/>
      <c r="CT55" s="205"/>
      <c r="CU55" s="205"/>
      <c r="CV55" s="205"/>
      <c r="CW55" s="205"/>
      <c r="CX55" s="205"/>
      <c r="CY55" s="205"/>
      <c r="CZ55" s="205"/>
      <c r="DA55" s="205"/>
      <c r="DB55" s="205"/>
      <c r="DC55" s="205"/>
      <c r="DD55" s="205"/>
      <c r="DE55" s="205"/>
      <c r="DF55" s="205"/>
      <c r="DG55" s="205"/>
      <c r="DH55" s="205"/>
      <c r="DI55" s="205"/>
      <c r="DJ55" s="205"/>
      <c r="DK55" s="126"/>
      <c r="DL55" s="126"/>
    </row>
    <row r="56" customFormat="false" ht="117" hidden="false" customHeight="true" outlineLevel="0" collapsed="false">
      <c r="A56" s="20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AT56" s="205"/>
      <c r="AU56" s="306" t="s">
        <v>170</v>
      </c>
      <c r="AV56" s="339" t="s">
        <v>195</v>
      </c>
      <c r="AW56" s="94" t="s">
        <v>30</v>
      </c>
      <c r="AX56" s="95" t="n">
        <f aca="false">0.5*(BF56+BG56+BH56)+BI56+BK56+2*(BL56+BM56)</f>
        <v>0</v>
      </c>
      <c r="AY56" s="95" t="n">
        <f aca="false">BF56*0.5+BG56*0.5+BH56*0.5+BI56+BJ56+BK56+2*(BL56+BM56+BN56)</f>
        <v>0</v>
      </c>
      <c r="AZ56" s="206"/>
      <c r="BA56" s="340" t="s">
        <v>173</v>
      </c>
      <c r="BB56" s="103"/>
      <c r="BC56" s="103"/>
      <c r="BD56" s="103"/>
      <c r="BE56" s="316" t="s">
        <v>174</v>
      </c>
      <c r="BF56" s="103"/>
      <c r="BG56" s="103"/>
      <c r="BH56" s="103"/>
      <c r="BI56" s="103"/>
      <c r="BJ56" s="103"/>
      <c r="BK56" s="103"/>
      <c r="BL56" s="103"/>
      <c r="BM56" s="103"/>
      <c r="BN56" s="103"/>
      <c r="BO56" s="145" t="n">
        <v>1</v>
      </c>
      <c r="BP56" s="151" t="s">
        <v>61</v>
      </c>
      <c r="BQ56" s="205"/>
      <c r="BR56" s="205"/>
      <c r="BU56" s="205"/>
      <c r="BV56" s="205"/>
      <c r="BW56" s="205"/>
      <c r="BX56" s="241"/>
      <c r="BY56" s="205"/>
      <c r="BZ56" s="205"/>
      <c r="CA56" s="205"/>
      <c r="CB56" s="241"/>
      <c r="CC56" s="205"/>
      <c r="CD56" s="205"/>
      <c r="CE56" s="205"/>
      <c r="CF56" s="205"/>
      <c r="CG56" s="205"/>
      <c r="CH56" s="205"/>
      <c r="CI56" s="205"/>
      <c r="CJ56" s="205"/>
      <c r="CK56" s="205"/>
      <c r="CL56" s="205"/>
      <c r="CM56" s="205"/>
      <c r="CN56" s="205"/>
      <c r="CO56" s="205"/>
      <c r="CP56" s="205"/>
      <c r="CQ56" s="205"/>
      <c r="CR56" s="205"/>
      <c r="CS56" s="205"/>
      <c r="CT56" s="205"/>
      <c r="CU56" s="205"/>
      <c r="CV56" s="205"/>
      <c r="CW56" s="205"/>
      <c r="CX56" s="205"/>
      <c r="CY56" s="205"/>
      <c r="CZ56" s="205"/>
      <c r="DA56" s="205"/>
      <c r="DB56" s="205"/>
      <c r="DC56" s="205"/>
      <c r="DD56" s="205"/>
      <c r="DE56" s="205"/>
      <c r="DF56" s="205"/>
      <c r="DG56" s="205"/>
      <c r="DH56" s="205"/>
      <c r="DI56" s="205"/>
      <c r="DJ56" s="205"/>
      <c r="DK56" s="126"/>
      <c r="DL56" s="126"/>
    </row>
    <row r="57" customFormat="false" ht="118.05" hidden="false" customHeight="false" outlineLevel="0" collapsed="false">
      <c r="A57" s="205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AT57" s="205"/>
      <c r="AU57" s="306" t="s">
        <v>170</v>
      </c>
      <c r="AV57" s="339" t="s">
        <v>196</v>
      </c>
      <c r="AW57" s="94" t="s">
        <v>30</v>
      </c>
      <c r="AX57" s="95" t="n">
        <f aca="false">0.5*(BF57+BG57+BH57)+BI57+BK57+2*(BL57+BM57)</f>
        <v>0</v>
      </c>
      <c r="AY57" s="95" t="n">
        <f aca="false">BF57*0.5+BG57*0.5+BH57*0.5+BI57+BJ57+BK57+2*(BL57+BM57+BN57)</f>
        <v>0</v>
      </c>
      <c r="AZ57" s="206"/>
      <c r="BA57" s="340" t="s">
        <v>173</v>
      </c>
      <c r="BB57" s="103"/>
      <c r="BC57" s="103"/>
      <c r="BD57" s="103"/>
      <c r="BE57" s="316" t="s">
        <v>174</v>
      </c>
      <c r="BF57" s="103"/>
      <c r="BG57" s="103"/>
      <c r="BH57" s="103"/>
      <c r="BI57" s="103"/>
      <c r="BJ57" s="103"/>
      <c r="BK57" s="103"/>
      <c r="BL57" s="103"/>
      <c r="BM57" s="103"/>
      <c r="BN57" s="103"/>
      <c r="BO57" s="145" t="n">
        <v>1</v>
      </c>
      <c r="BP57" s="151" t="s">
        <v>61</v>
      </c>
      <c r="BQ57" s="205"/>
      <c r="BR57" s="205"/>
      <c r="BU57" s="205"/>
      <c r="BV57" s="205"/>
      <c r="BW57" s="205"/>
      <c r="BX57" s="241"/>
      <c r="BY57" s="205"/>
      <c r="BZ57" s="205"/>
      <c r="CA57" s="205"/>
      <c r="CB57" s="241"/>
      <c r="CC57" s="205"/>
      <c r="CD57" s="205"/>
      <c r="CE57" s="205"/>
      <c r="CF57" s="205"/>
      <c r="CG57" s="205"/>
      <c r="CH57" s="205"/>
      <c r="CI57" s="205"/>
      <c r="CJ57" s="205"/>
      <c r="CK57" s="205"/>
      <c r="CL57" s="205"/>
      <c r="CM57" s="205"/>
      <c r="CN57" s="205"/>
      <c r="CO57" s="205"/>
      <c r="CP57" s="205"/>
      <c r="CQ57" s="205"/>
      <c r="CR57" s="205"/>
      <c r="CS57" s="205"/>
      <c r="CT57" s="205"/>
      <c r="CU57" s="205"/>
      <c r="CV57" s="205"/>
      <c r="CW57" s="205"/>
      <c r="CX57" s="205"/>
      <c r="CY57" s="205"/>
      <c r="CZ57" s="205"/>
      <c r="DA57" s="205"/>
      <c r="DB57" s="205"/>
      <c r="DC57" s="205"/>
      <c r="DD57" s="205"/>
      <c r="DE57" s="205"/>
      <c r="DF57" s="205"/>
      <c r="DG57" s="205"/>
      <c r="DH57" s="205"/>
      <c r="DI57" s="205"/>
      <c r="DJ57" s="205"/>
      <c r="DK57" s="126"/>
      <c r="DL57" s="126"/>
    </row>
    <row r="58" customFormat="false" ht="111.4" hidden="false" customHeight="false" outlineLevel="0" collapsed="false">
      <c r="A58" s="205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AT58" s="205"/>
      <c r="AU58" s="319" t="s">
        <v>178</v>
      </c>
      <c r="AV58" s="339" t="s">
        <v>197</v>
      </c>
      <c r="AW58" s="94" t="s">
        <v>30</v>
      </c>
      <c r="AX58" s="95" t="n">
        <f aca="false">0.5*(BF58+BG58+BH58)+BI58+BK58+2*(BL58+BM58)</f>
        <v>0</v>
      </c>
      <c r="AY58" s="95" t="n">
        <f aca="false">BF58*0.5+BG58*0.5+BH58*0.5+BI58+BJ58+BK58+2*(BL58+BM58+BN58)</f>
        <v>0</v>
      </c>
      <c r="AZ58" s="206"/>
      <c r="BA58" s="340" t="s">
        <v>173</v>
      </c>
      <c r="BB58" s="103"/>
      <c r="BC58" s="103"/>
      <c r="BD58" s="103"/>
      <c r="BE58" s="316" t="s">
        <v>174</v>
      </c>
      <c r="BF58" s="103"/>
      <c r="BG58" s="103"/>
      <c r="BH58" s="103"/>
      <c r="BI58" s="103"/>
      <c r="BJ58" s="103"/>
      <c r="BK58" s="103"/>
      <c r="BL58" s="103"/>
      <c r="BM58" s="103"/>
      <c r="BN58" s="103"/>
      <c r="BO58" s="145" t="n">
        <v>1</v>
      </c>
      <c r="BP58" s="151" t="s">
        <v>61</v>
      </c>
      <c r="BQ58" s="205"/>
      <c r="BR58" s="205"/>
      <c r="BU58" s="205"/>
      <c r="BV58" s="205"/>
      <c r="BW58" s="205"/>
      <c r="BX58" s="241"/>
      <c r="BY58" s="205"/>
      <c r="BZ58" s="205"/>
      <c r="CA58" s="205"/>
      <c r="CB58" s="241"/>
      <c r="CC58" s="205"/>
      <c r="CD58" s="205"/>
      <c r="CE58" s="205"/>
      <c r="CF58" s="205"/>
      <c r="CG58" s="205"/>
      <c r="CH58" s="205"/>
      <c r="CI58" s="205"/>
      <c r="CJ58" s="205"/>
      <c r="CK58" s="205"/>
      <c r="CL58" s="205"/>
      <c r="CM58" s="205"/>
      <c r="CN58" s="205"/>
      <c r="CO58" s="205"/>
      <c r="CP58" s="205"/>
      <c r="CQ58" s="205"/>
      <c r="CR58" s="205"/>
      <c r="CS58" s="205"/>
      <c r="CT58" s="205"/>
      <c r="CU58" s="205"/>
      <c r="CV58" s="205"/>
      <c r="CW58" s="205"/>
      <c r="CX58" s="205"/>
      <c r="CY58" s="205"/>
      <c r="CZ58" s="205"/>
      <c r="DA58" s="205"/>
      <c r="DB58" s="205"/>
      <c r="DC58" s="205"/>
      <c r="DD58" s="205"/>
      <c r="DE58" s="205"/>
      <c r="DF58" s="205"/>
      <c r="DG58" s="205"/>
      <c r="DH58" s="205"/>
      <c r="DI58" s="205"/>
      <c r="DJ58" s="205"/>
      <c r="DK58" s="126"/>
      <c r="DL58" s="126"/>
    </row>
    <row r="59" customFormat="false" ht="110.8" hidden="false" customHeight="false" outlineLevel="0" collapsed="false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AT59" s="205"/>
      <c r="AU59" s="341" t="s">
        <v>198</v>
      </c>
      <c r="AV59" s="339" t="s">
        <v>199</v>
      </c>
      <c r="AW59" s="94" t="s">
        <v>30</v>
      </c>
      <c r="AX59" s="95" t="n">
        <f aca="false">0.5*(BF59+BG59+BH59)+BI59+BK59+2*(BL59+BM59)</f>
        <v>0</v>
      </c>
      <c r="AY59" s="95" t="n">
        <f aca="false">BF59*0.5+BG59*0.5+BH59*0.5+BI59+BJ59+BK59+2*(BL59+BM59+BN59)</f>
        <v>0</v>
      </c>
      <c r="AZ59" s="206"/>
      <c r="BA59" s="340" t="s">
        <v>200</v>
      </c>
      <c r="BB59" s="103"/>
      <c r="BC59" s="103"/>
      <c r="BD59" s="103"/>
      <c r="BE59" s="316" t="s">
        <v>174</v>
      </c>
      <c r="BF59" s="103"/>
      <c r="BG59" s="103"/>
      <c r="BH59" s="103"/>
      <c r="BI59" s="103"/>
      <c r="BJ59" s="103"/>
      <c r="BK59" s="103"/>
      <c r="BL59" s="103"/>
      <c r="BM59" s="103"/>
      <c r="BN59" s="103"/>
      <c r="BO59" s="145" t="n">
        <v>1</v>
      </c>
      <c r="BP59" s="151" t="s">
        <v>61</v>
      </c>
      <c r="BQ59" s="205"/>
      <c r="BR59" s="205"/>
      <c r="BU59" s="205"/>
      <c r="BV59" s="205"/>
      <c r="BW59" s="205"/>
      <c r="BX59" s="241"/>
      <c r="BY59" s="205"/>
      <c r="BZ59" s="205"/>
      <c r="CA59" s="205"/>
      <c r="CB59" s="241"/>
      <c r="CC59" s="205"/>
      <c r="CD59" s="205"/>
      <c r="CE59" s="205"/>
      <c r="CF59" s="205"/>
      <c r="CG59" s="205"/>
      <c r="CH59" s="205"/>
      <c r="CI59" s="205"/>
      <c r="CJ59" s="205"/>
      <c r="CK59" s="205"/>
      <c r="CL59" s="205"/>
      <c r="CM59" s="205"/>
      <c r="CN59" s="205"/>
      <c r="CO59" s="205"/>
      <c r="CP59" s="205"/>
      <c r="CQ59" s="205"/>
      <c r="CR59" s="205"/>
      <c r="CS59" s="205"/>
      <c r="CT59" s="205"/>
      <c r="CU59" s="205"/>
      <c r="CV59" s="205"/>
      <c r="CW59" s="205"/>
      <c r="CX59" s="205"/>
      <c r="CY59" s="205"/>
      <c r="CZ59" s="205"/>
      <c r="DA59" s="205"/>
      <c r="DB59" s="205"/>
      <c r="DC59" s="205"/>
      <c r="DD59" s="205"/>
      <c r="DE59" s="205"/>
      <c r="DF59" s="205"/>
      <c r="DG59" s="205"/>
      <c r="DH59" s="205"/>
      <c r="DI59" s="205"/>
      <c r="DJ59" s="205"/>
      <c r="DK59" s="126"/>
      <c r="DL59" s="126"/>
    </row>
    <row r="60" customFormat="false" ht="102" hidden="false" customHeight="true" outlineLevel="0" collapsed="false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AT60" s="205"/>
      <c r="AU60" s="2"/>
      <c r="AV60" s="342" t="s">
        <v>201</v>
      </c>
      <c r="AW60" s="118" t="s">
        <v>30</v>
      </c>
      <c r="AX60" s="95" t="n">
        <f aca="false">0.5*(BF60+BG60+BH60)+BI60+BK60+2*(BL60+BM60)</f>
        <v>1</v>
      </c>
      <c r="AY60" s="95" t="n">
        <f aca="false">BF60*0.5+BG60*0.5+BH60*0.5+BI60+BJ60+BK60+2*(BL60+BM60+BN60)</f>
        <v>1</v>
      </c>
      <c r="AZ60" s="50" t="e">
        <f aca="false">#VALUE!</f>
        <v>#VALUE!</v>
      </c>
      <c r="BA60" s="7" t="s">
        <v>42</v>
      </c>
      <c r="BB60" s="97"/>
      <c r="BC60" s="193"/>
      <c r="BD60" s="98"/>
      <c r="BE60" s="98" t="s">
        <v>202</v>
      </c>
      <c r="BF60" s="50"/>
      <c r="BG60" s="50"/>
      <c r="BH60" s="50"/>
      <c r="BI60" s="50"/>
      <c r="BJ60" s="50"/>
      <c r="BK60" s="100" t="n">
        <v>1</v>
      </c>
      <c r="BL60" s="50"/>
      <c r="BM60" s="50"/>
      <c r="BN60" s="50"/>
      <c r="BO60" s="108" t="n">
        <v>1</v>
      </c>
      <c r="BP60" s="109"/>
      <c r="BQ60" s="205"/>
      <c r="BR60" s="205"/>
      <c r="BU60" s="205"/>
      <c r="BV60" s="205"/>
      <c r="BW60" s="205"/>
      <c r="BX60" s="241"/>
      <c r="BY60" s="205"/>
      <c r="BZ60" s="205"/>
      <c r="CA60" s="205"/>
      <c r="CB60" s="241"/>
      <c r="CC60" s="205"/>
      <c r="CD60" s="205"/>
      <c r="CE60" s="205"/>
      <c r="CF60" s="205"/>
      <c r="CG60" s="205"/>
      <c r="CH60" s="205"/>
      <c r="CI60" s="205"/>
      <c r="CJ60" s="205"/>
      <c r="CK60" s="205"/>
      <c r="CL60" s="205"/>
      <c r="CM60" s="205"/>
      <c r="CN60" s="205"/>
      <c r="CO60" s="205"/>
      <c r="CP60" s="205"/>
      <c r="CQ60" s="205"/>
      <c r="CR60" s="205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126"/>
      <c r="DL60" s="126"/>
    </row>
    <row r="61" customFormat="false" ht="129.75" hidden="false" customHeight="true" outlineLevel="0" collapsed="false">
      <c r="A61" s="205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AT61" s="205"/>
      <c r="AU61" s="343"/>
      <c r="AV61" s="195" t="s">
        <v>203</v>
      </c>
      <c r="AW61" s="118" t="s">
        <v>30</v>
      </c>
      <c r="AX61" s="95" t="n">
        <f aca="false">0.5*(BF61+BG61+BH61)+BI61+BK61+2*(BL61+BM61)</f>
        <v>1</v>
      </c>
      <c r="AY61" s="95" t="n">
        <f aca="false">BF61*0.5+BG61*0.5+BH61*0.5+BI61+BJ61+BK61+2*(BL61+BM61+BN61)</f>
        <v>3</v>
      </c>
      <c r="AZ61" s="152"/>
      <c r="BA61" s="7" t="s">
        <v>42</v>
      </c>
      <c r="BB61" s="97"/>
      <c r="BC61" s="97"/>
      <c r="BD61" s="98"/>
      <c r="BE61" s="98" t="s">
        <v>204</v>
      </c>
      <c r="BF61" s="99"/>
      <c r="BG61" s="99"/>
      <c r="BH61" s="99"/>
      <c r="BI61" s="100" t="n">
        <v>1</v>
      </c>
      <c r="BJ61" s="99"/>
      <c r="BK61" s="99"/>
      <c r="BL61" s="99"/>
      <c r="BM61" s="99"/>
      <c r="BN61" s="181" t="n">
        <v>1</v>
      </c>
      <c r="BO61" s="108" t="n">
        <v>1</v>
      </c>
      <c r="BP61" s="149"/>
      <c r="BQ61" s="205"/>
      <c r="BR61" s="205"/>
      <c r="BU61" s="205"/>
      <c r="BV61" s="205"/>
      <c r="BW61" s="205"/>
      <c r="BX61" s="241"/>
      <c r="BY61" s="205"/>
      <c r="BZ61" s="205"/>
      <c r="CA61" s="205"/>
      <c r="CB61" s="241"/>
      <c r="CC61" s="205"/>
      <c r="CD61" s="205"/>
      <c r="CE61" s="205"/>
      <c r="CF61" s="205"/>
      <c r="CG61" s="205"/>
      <c r="CH61" s="205"/>
      <c r="CI61" s="205"/>
      <c r="CJ61" s="205"/>
      <c r="CK61" s="205"/>
      <c r="CL61" s="205"/>
      <c r="CM61" s="205"/>
      <c r="CN61" s="205"/>
      <c r="CO61" s="205"/>
      <c r="CP61" s="205"/>
      <c r="CQ61" s="205"/>
      <c r="CR61" s="205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126"/>
      <c r="DL61" s="126"/>
    </row>
    <row r="62" customFormat="false" ht="22.5" hidden="false" customHeight="false" outlineLevel="0" collapsed="false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AT62" s="205"/>
      <c r="AU62" s="205"/>
      <c r="AV62" s="239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5"/>
      <c r="BI62" s="205"/>
      <c r="BJ62" s="205"/>
      <c r="BK62" s="205"/>
      <c r="BL62" s="205"/>
      <c r="BM62" s="205"/>
      <c r="BN62" s="205"/>
      <c r="BO62" s="205"/>
      <c r="BP62" s="205"/>
      <c r="BQ62" s="205"/>
      <c r="BR62" s="205"/>
      <c r="BU62" s="205"/>
      <c r="BV62" s="205"/>
      <c r="BW62" s="205"/>
      <c r="BX62" s="241"/>
      <c r="BY62" s="205"/>
      <c r="BZ62" s="205"/>
      <c r="CA62" s="205"/>
      <c r="CB62" s="241"/>
      <c r="CC62" s="205"/>
      <c r="CD62" s="205"/>
      <c r="CE62" s="205"/>
      <c r="CF62" s="205"/>
      <c r="CG62" s="205"/>
      <c r="CH62" s="205"/>
      <c r="CI62" s="205"/>
      <c r="CJ62" s="205"/>
      <c r="CK62" s="205"/>
      <c r="CL62" s="205"/>
      <c r="CM62" s="205"/>
      <c r="CN62" s="205"/>
      <c r="CO62" s="205"/>
      <c r="CP62" s="205"/>
      <c r="CQ62" s="205"/>
      <c r="CR62" s="205"/>
      <c r="CS62" s="205"/>
      <c r="CT62" s="205"/>
      <c r="CU62" s="205"/>
      <c r="CV62" s="205"/>
      <c r="CW62" s="205"/>
      <c r="CX62" s="205"/>
      <c r="CY62" s="205"/>
      <c r="CZ62" s="205"/>
      <c r="DA62" s="205"/>
      <c r="DB62" s="205"/>
      <c r="DC62" s="205"/>
      <c r="DD62" s="205"/>
      <c r="DE62" s="205"/>
      <c r="DF62" s="205"/>
      <c r="DG62" s="205"/>
      <c r="DH62" s="205"/>
      <c r="DI62" s="205"/>
      <c r="DJ62" s="205"/>
      <c r="DK62" s="126"/>
      <c r="DL62" s="126"/>
    </row>
    <row r="63" customFormat="false" ht="22.5" hidden="false" customHeight="false" outlineLevel="0" collapsed="false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AT63" s="205"/>
      <c r="AU63" s="205"/>
      <c r="AV63" s="239"/>
      <c r="AW63" s="205"/>
      <c r="AX63" s="205"/>
      <c r="AY63" s="205"/>
      <c r="AZ63" s="205"/>
      <c r="BA63" s="241"/>
      <c r="BB63" s="205"/>
      <c r="BC63" s="205"/>
      <c r="BD63" s="205"/>
      <c r="BE63" s="241"/>
      <c r="BF63" s="205"/>
      <c r="BG63" s="205"/>
      <c r="BH63" s="205"/>
      <c r="BI63" s="205"/>
      <c r="BJ63" s="205"/>
      <c r="BK63" s="205"/>
      <c r="BL63" s="205"/>
      <c r="BM63" s="205"/>
      <c r="BN63" s="205"/>
      <c r="BO63" s="205"/>
      <c r="BP63" s="205"/>
      <c r="BQ63" s="205"/>
      <c r="BR63" s="205"/>
      <c r="BU63" s="205"/>
      <c r="BV63" s="205"/>
      <c r="BW63" s="205"/>
      <c r="BX63" s="241"/>
      <c r="BY63" s="205"/>
      <c r="BZ63" s="205"/>
      <c r="CA63" s="205"/>
      <c r="CB63" s="241"/>
      <c r="CC63" s="205"/>
      <c r="CD63" s="205"/>
      <c r="CE63" s="205"/>
      <c r="CF63" s="205"/>
      <c r="CG63" s="205"/>
      <c r="CH63" s="205"/>
      <c r="CI63" s="205"/>
      <c r="CJ63" s="205"/>
      <c r="CK63" s="205"/>
      <c r="CL63" s="205"/>
      <c r="CM63" s="205"/>
      <c r="CN63" s="205"/>
      <c r="CO63" s="205"/>
      <c r="CP63" s="205"/>
      <c r="CQ63" s="205"/>
      <c r="CR63" s="205"/>
      <c r="CS63" s="205"/>
      <c r="CT63" s="205"/>
      <c r="CU63" s="205"/>
      <c r="CV63" s="205"/>
      <c r="CW63" s="205"/>
      <c r="CX63" s="205"/>
      <c r="CY63" s="205"/>
      <c r="CZ63" s="205"/>
      <c r="DA63" s="205"/>
      <c r="DB63" s="205"/>
      <c r="DC63" s="205"/>
      <c r="DD63" s="205"/>
      <c r="DE63" s="205"/>
      <c r="DF63" s="205"/>
      <c r="DG63" s="205"/>
      <c r="DH63" s="205"/>
      <c r="DI63" s="205"/>
      <c r="DJ63" s="205"/>
      <c r="DK63" s="126"/>
      <c r="DL63" s="126"/>
    </row>
    <row r="64" customFormat="false" ht="22.5" hidden="false" customHeight="false" outlineLevel="0" collapsed="false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AT64" s="205"/>
      <c r="AU64" s="205"/>
      <c r="AV64" s="239"/>
      <c r="AW64" s="205"/>
      <c r="AX64" s="205"/>
      <c r="AY64" s="205"/>
      <c r="AZ64" s="205"/>
      <c r="BA64" s="241"/>
      <c r="BB64" s="205"/>
      <c r="BC64" s="205"/>
      <c r="BD64" s="205"/>
      <c r="BE64" s="241"/>
      <c r="BF64" s="205"/>
      <c r="BG64" s="205"/>
      <c r="BH64" s="205"/>
      <c r="BI64" s="205"/>
      <c r="BJ64" s="205"/>
      <c r="BK64" s="205"/>
      <c r="BL64" s="205"/>
      <c r="BM64" s="205"/>
      <c r="BN64" s="205"/>
      <c r="BO64" s="205"/>
      <c r="BP64" s="205"/>
      <c r="BQ64" s="205"/>
      <c r="BR64" s="205"/>
      <c r="BS64" s="205"/>
      <c r="BT64" s="205"/>
      <c r="BU64" s="205"/>
      <c r="BV64" s="205"/>
      <c r="BW64" s="205"/>
      <c r="BX64" s="241"/>
      <c r="BY64" s="205"/>
      <c r="BZ64" s="205"/>
      <c r="CA64" s="205"/>
      <c r="CB64" s="241"/>
      <c r="CC64" s="205"/>
      <c r="CD64" s="205"/>
      <c r="CE64" s="205"/>
      <c r="CF64" s="205"/>
      <c r="CG64" s="205"/>
      <c r="CH64" s="205"/>
      <c r="CI64" s="205"/>
      <c r="CJ64" s="205"/>
      <c r="CK64" s="205"/>
      <c r="CL64" s="205"/>
      <c r="CM64" s="205"/>
      <c r="CN64" s="205"/>
      <c r="CO64" s="205"/>
      <c r="CP64" s="205"/>
      <c r="CQ64" s="205"/>
      <c r="CR64" s="205"/>
      <c r="CS64" s="205"/>
      <c r="CT64" s="205"/>
      <c r="CU64" s="205"/>
      <c r="CV64" s="205"/>
      <c r="CW64" s="205"/>
      <c r="CX64" s="205"/>
      <c r="CY64" s="205"/>
      <c r="CZ64" s="205"/>
      <c r="DA64" s="205"/>
      <c r="DB64" s="205"/>
      <c r="DC64" s="205"/>
      <c r="DD64" s="205"/>
      <c r="DE64" s="205"/>
      <c r="DF64" s="205"/>
      <c r="DG64" s="205"/>
      <c r="DH64" s="205"/>
      <c r="DI64" s="205"/>
      <c r="DJ64" s="205"/>
      <c r="DK64" s="126"/>
      <c r="DL64" s="126"/>
    </row>
    <row r="65" customFormat="false" ht="22.5" hidden="false" customHeight="false" outlineLevel="0" collapsed="false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AT65" s="64"/>
      <c r="AU65" s="64"/>
      <c r="AV65" s="243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</row>
    <row r="66" customFormat="false" ht="24.45" hidden="false" customHeight="false" outlineLevel="0" collapsed="false">
      <c r="A66" s="69" t="s">
        <v>96</v>
      </c>
      <c r="B66" s="70" t="s">
        <v>205</v>
      </c>
      <c r="C66" s="71" t="s">
        <v>30</v>
      </c>
      <c r="D66" s="72" t="n">
        <f aca="false">0.5*(L66+M66+N66)+O66+Q66+2*(R66+S66)</f>
        <v>12</v>
      </c>
      <c r="E66" s="73" t="n">
        <f aca="false">L66*0.5+M66*0.5+N66*0.5+O66+P66+Q66+2*(R66+S66+T66)</f>
        <v>18</v>
      </c>
      <c r="F66" s="70"/>
      <c r="G66" s="70"/>
      <c r="H66" s="70"/>
      <c r="I66" s="70"/>
      <c r="J66" s="70"/>
      <c r="K66" s="70"/>
      <c r="L66" s="74" t="n">
        <f aca="false">SUMIFS(L68:L88,C68:C88,C66)</f>
        <v>0</v>
      </c>
      <c r="M66" s="74" t="n">
        <f aca="false">SUMIFS(M68:M88,C68:C88,C66)</f>
        <v>0</v>
      </c>
      <c r="N66" s="74" t="n">
        <f aca="false">SUMIFS(N68:N88,C68:C88,C66)</f>
        <v>0</v>
      </c>
      <c r="O66" s="74" t="n">
        <f aca="false">SUMIFS(O68:O88,C68:C88,C66)</f>
        <v>0</v>
      </c>
      <c r="P66" s="74" t="n">
        <f aca="false">SUMIFS(P68:P88,C68:C88,C66)</f>
        <v>0</v>
      </c>
      <c r="Q66" s="74" t="n">
        <f aca="false">SUMIFS(Q68:Q88,C68:C88,C66)</f>
        <v>0</v>
      </c>
      <c r="R66" s="74" t="n">
        <f aca="false">SUMIFS(R68:R88,C68:C88,C66)</f>
        <v>6</v>
      </c>
      <c r="S66" s="74" t="n">
        <f aca="false">SUMIFS(S68:S88,C68:C88,C66)</f>
        <v>0</v>
      </c>
      <c r="T66" s="74" t="n">
        <f aca="false">SUMIFS(T68:T88,C68:C88,C66)</f>
        <v>3</v>
      </c>
      <c r="U66" s="75"/>
      <c r="V66" s="76" t="n">
        <f aca="false">SUM(U68:U88)</f>
        <v>12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U66" s="69" t="s">
        <v>206</v>
      </c>
      <c r="AV66" s="70" t="s">
        <v>207</v>
      </c>
      <c r="AW66" s="71" t="s">
        <v>30</v>
      </c>
      <c r="AX66" s="72" t="n">
        <f aca="false">0.5*(BF66+BG66+BH66)+BI66+BK66+2*(BL66+BM66)</f>
        <v>0</v>
      </c>
      <c r="AY66" s="73" t="n">
        <f aca="false">BF66*0.5+BG66*0.5+BH66*0.5+BI66+BJ66+BK66+2*(BL66+BM66+BN66)</f>
        <v>0</v>
      </c>
      <c r="AZ66" s="70"/>
      <c r="BA66" s="70"/>
      <c r="BB66" s="70"/>
      <c r="BC66" s="70"/>
      <c r="BD66" s="70"/>
      <c r="BE66" s="70"/>
      <c r="BF66" s="74" t="n">
        <f aca="false">SUMIFS(BF68:BF88,AW68:AW88,AW66)</f>
        <v>0</v>
      </c>
      <c r="BG66" s="74" t="n">
        <f aca="false">SUMIFS(BG68:BG88,AW68:AW88,AW66)</f>
        <v>0</v>
      </c>
      <c r="BH66" s="74" t="n">
        <f aca="false">SUMIFS(BH68:BH88,AW68:AW88,AW66)</f>
        <v>0</v>
      </c>
      <c r="BI66" s="74" t="n">
        <f aca="false">SUMIFS(BI68:BI88,AW68:AW88,AW66)</f>
        <v>0</v>
      </c>
      <c r="BJ66" s="74" t="n">
        <f aca="false">SUMIFS(BJ68:BJ88,AW68:AW88,AW66)</f>
        <v>0</v>
      </c>
      <c r="BK66" s="74" t="n">
        <f aca="false">SUMIFS(BK68:BK88,AW68:AW88,AW66)</f>
        <v>0</v>
      </c>
      <c r="BL66" s="74" t="n">
        <f aca="false">SUMIFS(BL68:BL88,AW68:AW88,AW66)</f>
        <v>0</v>
      </c>
      <c r="BM66" s="74" t="n">
        <f aca="false">SUMIFS(BM68:BM88,AW68:AW88,AW66)</f>
        <v>0</v>
      </c>
      <c r="BN66" s="74" t="n">
        <f aca="false">SUMIFS(BN68:BN88,AW68:AW88,AW66)</f>
        <v>0</v>
      </c>
      <c r="BO66" s="75"/>
      <c r="BP66" s="76" t="n">
        <f aca="false">SUM(BO68:BO88)</f>
        <v>18</v>
      </c>
      <c r="BQ66" s="64"/>
      <c r="BR66" s="69" t="s">
        <v>208</v>
      </c>
      <c r="BS66" s="70" t="s">
        <v>209</v>
      </c>
      <c r="BT66" s="71" t="s">
        <v>30</v>
      </c>
      <c r="BU66" s="72" t="n">
        <f aca="false">0.5*(CC66+CD66+CE66)+CF66+CH66+2*(CI66+CJ66)</f>
        <v>12</v>
      </c>
      <c r="BV66" s="73" t="n">
        <f aca="false">CC66*0.5+CD66*0.5+CE66*0.5+CF66+CG66+CH66+2*(CI66+CJ66+CK66)</f>
        <v>18</v>
      </c>
      <c r="BW66" s="70"/>
      <c r="BX66" s="87"/>
      <c r="BY66" s="70"/>
      <c r="BZ66" s="70"/>
      <c r="CA66" s="70"/>
      <c r="CB66" s="87"/>
      <c r="CC66" s="74" t="n">
        <f aca="false">SUMIFS(CC68:CC86,BT68:BT86,BT66)</f>
        <v>0</v>
      </c>
      <c r="CD66" s="74" t="n">
        <f aca="false">SUMIFS(CD68:CD86,BT68:BT86,BT66)</f>
        <v>0</v>
      </c>
      <c r="CE66" s="74" t="n">
        <f aca="false">SUMIFS(CE68:CE86,BT68:BT86,BT66)</f>
        <v>0</v>
      </c>
      <c r="CF66" s="74" t="n">
        <f aca="false">SUMIFS(CF68:CF86,BT68:BT86,BT66)</f>
        <v>0</v>
      </c>
      <c r="CG66" s="74" t="n">
        <f aca="false">SUMIFS(CG68:CG86,BT68:BT86,BT66)</f>
        <v>0</v>
      </c>
      <c r="CH66" s="74" t="n">
        <f aca="false">SUMIFS(CH68:CH86,BT68:BT86,BT66)</f>
        <v>0</v>
      </c>
      <c r="CI66" s="74" t="n">
        <f aca="false">SUMIFS(CI68:CI86,BT68:BT86,BT66)</f>
        <v>6</v>
      </c>
      <c r="CJ66" s="74" t="n">
        <f aca="false">SUMIFS(CJ68:CJ86,BT68:BT86,BT66)</f>
        <v>0</v>
      </c>
      <c r="CK66" s="74" t="n">
        <f aca="false">SUMIFS(CK68:CK86,BT68:BT86,BT66)</f>
        <v>3</v>
      </c>
      <c r="CL66" s="75"/>
      <c r="CM66" s="76" t="n">
        <f aca="false">SUM(CL68:CL88)</f>
        <v>19</v>
      </c>
      <c r="CN66" s="56"/>
      <c r="CO66" s="69" t="s">
        <v>33</v>
      </c>
      <c r="CP66" s="70"/>
      <c r="CQ66" s="71" t="s">
        <v>30</v>
      </c>
      <c r="CR66" s="72" t="n">
        <f aca="false">0.5*(CZ66+DA66+DB66)+DC66+DE66+2*(DF66+DG66)</f>
        <v>2</v>
      </c>
      <c r="CS66" s="73" t="n">
        <f aca="false">CZ66*0.5+DA66*0.5+DB66*0.5+DC66+DD66+DE66+2*(DF66+DG66+DH66)</f>
        <v>2</v>
      </c>
      <c r="CT66" s="70"/>
      <c r="CU66" s="70"/>
      <c r="CV66" s="70"/>
      <c r="CW66" s="70"/>
      <c r="CX66" s="70"/>
      <c r="CY66" s="70"/>
      <c r="CZ66" s="74" t="n">
        <f aca="false">SUMIFS(CZ68:CZ82,CQ68:CQ82,CQ66)</f>
        <v>4</v>
      </c>
      <c r="DA66" s="74" t="n">
        <f aca="false">SUMIFS(DA68:DA82,CQ68:CQ82,CQ66)</f>
        <v>0</v>
      </c>
      <c r="DB66" s="74" t="n">
        <f aca="false">SUMIFS(DB68:DB82,CQ68:CQ82,CQ66)</f>
        <v>0</v>
      </c>
      <c r="DC66" s="74" t="n">
        <f aca="false">SUMIFS(DC68:DC82,CQ68:CQ82,CQ66)</f>
        <v>0</v>
      </c>
      <c r="DD66" s="74" t="n">
        <f aca="false">SUMIFS(DD68:DD82,CQ68:CQ82,CQ66)</f>
        <v>0</v>
      </c>
      <c r="DE66" s="74" t="n">
        <f aca="false">SUMIFS(DE68:DE82,CQ68:CQ82,CQ66)</f>
        <v>0</v>
      </c>
      <c r="DF66" s="74" t="n">
        <f aca="false">SUMIFS(DF68:DF82,CQ68:CQ82,CQ66)</f>
        <v>0</v>
      </c>
      <c r="DG66" s="74" t="n">
        <f aca="false">SUMIFS(DG68:DG82,CQ68:CQ82,CQ66)</f>
        <v>0</v>
      </c>
      <c r="DH66" s="74" t="n">
        <f aca="false">SUMIFS(DH68:DH82,CQ68:CQ82,CQ66)</f>
        <v>0</v>
      </c>
      <c r="DI66" s="75"/>
      <c r="DJ66" s="76" t="n">
        <f aca="false">SUM(DI68:DI88)</f>
        <v>3</v>
      </c>
      <c r="DK66" s="11"/>
      <c r="DL66" s="11"/>
      <c r="DM66" s="11"/>
      <c r="DN66" s="11"/>
      <c r="DO66" s="11"/>
    </row>
    <row r="67" customFormat="false" ht="24.45" hidden="false" customHeight="false" outlineLevel="0" collapsed="false">
      <c r="A67" s="69" t="s">
        <v>99</v>
      </c>
      <c r="B67" s="70"/>
      <c r="C67" s="71" t="s">
        <v>36</v>
      </c>
      <c r="D67" s="72" t="n">
        <f aca="false">0.5*(L67+M67+N67)+O67+Q67+2*(R67+S67)</f>
        <v>13</v>
      </c>
      <c r="E67" s="73" t="n">
        <f aca="false">L67*0.5+M67*0.5+N67*0.5+O67+P67+Q67+2*(R67+S67+T67)</f>
        <v>13</v>
      </c>
      <c r="F67" s="70"/>
      <c r="G67" s="70"/>
      <c r="H67" s="70"/>
      <c r="I67" s="70"/>
      <c r="J67" s="70"/>
      <c r="K67" s="70"/>
      <c r="L67" s="74" t="n">
        <f aca="false">SUMIFS(L68:L88,C68:C88,C67)</f>
        <v>0</v>
      </c>
      <c r="M67" s="74" t="n">
        <f aca="false">SUMIFS(M68:M88,C68:C88,C67)</f>
        <v>0</v>
      </c>
      <c r="N67" s="74" t="n">
        <f aca="false">SUMIFS(N68:N88,C68:C88,C67)</f>
        <v>0</v>
      </c>
      <c r="O67" s="74" t="n">
        <f aca="false">SUMIFS(O68:O88,C68:C88,C67)</f>
        <v>9</v>
      </c>
      <c r="P67" s="74" t="n">
        <f aca="false">SUMIFS(P68:P88,C68:C88,C67)</f>
        <v>0</v>
      </c>
      <c r="Q67" s="74" t="n">
        <f aca="false">SUMIFS(Q68:Q88,C68:C88,C67)</f>
        <v>0</v>
      </c>
      <c r="R67" s="74" t="n">
        <f aca="false">SUMIFS(R68:R88,C68:C88,C67)</f>
        <v>2</v>
      </c>
      <c r="S67" s="74" t="n">
        <f aca="false">SUMIFS(S68:S88,C68:C88,C67)</f>
        <v>0</v>
      </c>
      <c r="T67" s="74" t="n">
        <f aca="false">SUMIFS(T68:T88,C68:C88,C67)</f>
        <v>0</v>
      </c>
      <c r="U67" s="75"/>
      <c r="V67" s="76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U67" s="69" t="s">
        <v>210</v>
      </c>
      <c r="AV67" s="91"/>
      <c r="AW67" s="71" t="s">
        <v>36</v>
      </c>
      <c r="AX67" s="72" t="n">
        <f aca="false">0.5*(BF67+BG67+BH67)+BI67+BK67+2*(BL67+BM67)</f>
        <v>0</v>
      </c>
      <c r="AY67" s="73" t="n">
        <f aca="false">BF67*0.5+BG67*0.5+BH67*0.5+BI67+BJ67+BK67+2*(BL67+BM67+BN67)</f>
        <v>0</v>
      </c>
      <c r="AZ67" s="70"/>
      <c r="BA67" s="70"/>
      <c r="BB67" s="70"/>
      <c r="BC67" s="70"/>
      <c r="BD67" s="70"/>
      <c r="BE67" s="70"/>
      <c r="BF67" s="74" t="n">
        <f aca="false">SUMIFS(BF68:BF88,AW68:AW88,AW67)</f>
        <v>0</v>
      </c>
      <c r="BG67" s="74" t="n">
        <f aca="false">SUMIFS(BG68:BG88,AW68:AW88,AW67)</f>
        <v>0</v>
      </c>
      <c r="BH67" s="74" t="n">
        <f aca="false">SUMIFS(BH68:BH88,AW68:AW88,AW67)</f>
        <v>0</v>
      </c>
      <c r="BI67" s="74" t="n">
        <f aca="false">SUMIFS(BI68:BI88,AW68:AW88,AW67)</f>
        <v>0</v>
      </c>
      <c r="BJ67" s="74" t="n">
        <f aca="false">SUMIFS(BJ68:BJ88,AW68:AW88,AW67)</f>
        <v>0</v>
      </c>
      <c r="BK67" s="74" t="n">
        <f aca="false">SUMIFS(BK68:BK88,AW68:AW88,AW67)</f>
        <v>0</v>
      </c>
      <c r="BL67" s="74" t="n">
        <f aca="false">SUMIFS(BL68:BL88,AW68:AW88,AW67)</f>
        <v>0</v>
      </c>
      <c r="BM67" s="74" t="n">
        <f aca="false">SUMIFS(BM68:BM88,AW68:AW88,AW67)</f>
        <v>0</v>
      </c>
      <c r="BN67" s="74" t="n">
        <f aca="false">SUMIFS(BN68:BN88,AW68:AW88,AW67)</f>
        <v>0</v>
      </c>
      <c r="BO67" s="75"/>
      <c r="BP67" s="76"/>
      <c r="BR67" s="69" t="s">
        <v>211</v>
      </c>
      <c r="BS67" s="70"/>
      <c r="BT67" s="71" t="s">
        <v>36</v>
      </c>
      <c r="BU67" s="72" t="n">
        <f aca="false">0.5*(CC67+CD67+CE67)+CF67+CH67+2*(CI67+CJ67)</f>
        <v>9</v>
      </c>
      <c r="BV67" s="73" t="n">
        <f aca="false">CC67*0.5+CD67*0.5+CE67*0.5+CF67+CG67+CH67+2*(CI67+CJ67+CK67)</f>
        <v>9</v>
      </c>
      <c r="BW67" s="70"/>
      <c r="BX67" s="87"/>
      <c r="BY67" s="70"/>
      <c r="BZ67" s="70"/>
      <c r="CA67" s="70"/>
      <c r="CB67" s="87"/>
      <c r="CC67" s="74" t="n">
        <f aca="false">SUMIFS(CC68:CC86,BT68:BT86,BT67)</f>
        <v>0</v>
      </c>
      <c r="CD67" s="74" t="n">
        <f aca="false">SUMIFS(CD68:CD86,BT68:BT86,BT67)</f>
        <v>1</v>
      </c>
      <c r="CE67" s="74" t="n">
        <f aca="false">SUMIFS(CE68:CE86,BT68:BT86,BT67)</f>
        <v>1</v>
      </c>
      <c r="CF67" s="74" t="n">
        <f aca="false">SUMIFS(CF68:CF86,BT68:BT86,BT67)</f>
        <v>5</v>
      </c>
      <c r="CG67" s="74" t="n">
        <f aca="false">SUMIFS(CG68:CG86,BT68:BT86,BT67)</f>
        <v>0</v>
      </c>
      <c r="CH67" s="74" t="n">
        <f aca="false">SUMIFS(CH68:CH86,BT68:BT86,BT67)</f>
        <v>1</v>
      </c>
      <c r="CI67" s="74" t="n">
        <f aca="false">SUMIFS(CI68:CI86,BT68:BT86,BT67)</f>
        <v>1</v>
      </c>
      <c r="CJ67" s="74" t="n">
        <f aca="false">SUMIFS(CJ68:CJ86,BT68:BT86,BT67)</f>
        <v>0</v>
      </c>
      <c r="CK67" s="74" t="n">
        <f aca="false">SUMIFS(CK68:CK86,BT68:BT86,BT67)</f>
        <v>0</v>
      </c>
      <c r="CL67" s="75"/>
      <c r="CM67" s="76"/>
      <c r="CN67" s="56"/>
      <c r="CO67" s="69" t="s">
        <v>38</v>
      </c>
      <c r="CP67" s="70"/>
      <c r="CQ67" s="71" t="s">
        <v>36</v>
      </c>
      <c r="CR67" s="72" t="n">
        <f aca="false">0.5*(CZ67+DA67+DB67)+DC67+DE67+2*(DF67+DG67)</f>
        <v>0</v>
      </c>
      <c r="CS67" s="73" t="n">
        <f aca="false">CZ67*0.5+DA67*0.5+DB67*0.5+DC67+DD67+DE67+2*(DF67+DG67+DH67)</f>
        <v>0</v>
      </c>
      <c r="CT67" s="70"/>
      <c r="CU67" s="70"/>
      <c r="CV67" s="70"/>
      <c r="CW67" s="70"/>
      <c r="CX67" s="70"/>
      <c r="CY67" s="70"/>
      <c r="CZ67" s="74" t="n">
        <f aca="false">SUMIFS(CZ68:CZ82,CQ68:CQ82,CQ67)</f>
        <v>0</v>
      </c>
      <c r="DA67" s="74" t="n">
        <f aca="false">SUMIFS(DA68:DA82,CQ68:CQ82,CQ67)</f>
        <v>0</v>
      </c>
      <c r="DB67" s="74" t="n">
        <f aca="false">SUMIFS(DB68:DB82,CQ68:CQ82,CQ67)</f>
        <v>0</v>
      </c>
      <c r="DC67" s="74" t="n">
        <f aca="false">SUMIFS(DC68:DC82,CQ68:CQ82,CQ67)</f>
        <v>0</v>
      </c>
      <c r="DD67" s="74" t="n">
        <f aca="false">SUMIFS(DD68:DD82,CQ68:CQ82,CQ67)</f>
        <v>0</v>
      </c>
      <c r="DE67" s="74" t="n">
        <f aca="false">SUMIFS(DE68:DE82,CQ68:CQ82,CQ67)</f>
        <v>0</v>
      </c>
      <c r="DF67" s="74" t="n">
        <f aca="false">SUMIFS(DF68:DF82,CQ68:CQ82,CQ67)</f>
        <v>0</v>
      </c>
      <c r="DG67" s="74" t="n">
        <f aca="false">SUMIFS(DG68:DG82,CQ68:CQ82,CQ67)</f>
        <v>0</v>
      </c>
      <c r="DH67" s="74" t="n">
        <f aca="false">SUMIFS(DH68:DH82,CQ68:CQ82,CQ67)</f>
        <v>0</v>
      </c>
      <c r="DI67" s="75"/>
      <c r="DJ67" s="76"/>
      <c r="DK67" s="11"/>
      <c r="DL67" s="11"/>
      <c r="DM67" s="11"/>
      <c r="DN67" s="11"/>
      <c r="DO67" s="11"/>
    </row>
    <row r="68" customFormat="false" ht="178.5" hidden="false" customHeight="true" outlineLevel="0" collapsed="false">
      <c r="A68" s="344" t="s">
        <v>212</v>
      </c>
      <c r="B68" s="93" t="s">
        <v>213</v>
      </c>
      <c r="C68" s="94" t="s">
        <v>30</v>
      </c>
      <c r="D68" s="95" t="n">
        <f aca="false">0.5*(L68+M68+N68)+O68+Q68+2*(R68+S68)</f>
        <v>12</v>
      </c>
      <c r="E68" s="95" t="n">
        <f aca="false">L68*0.5+M68*0.5+N68*0.5+O68+P68+Q68+2*(R68+S68+T68)</f>
        <v>18</v>
      </c>
      <c r="F68" s="280" t="e">
        <f aca="false">#VALUE!</f>
        <v>#VALUE!</v>
      </c>
      <c r="G68" s="7" t="s">
        <v>214</v>
      </c>
      <c r="H68" s="345"/>
      <c r="I68" s="107" t="s">
        <v>48</v>
      </c>
      <c r="J68" s="98"/>
      <c r="K68" s="98" t="s">
        <v>215</v>
      </c>
      <c r="L68" s="266"/>
      <c r="M68" s="266"/>
      <c r="N68" s="266"/>
      <c r="O68" s="266"/>
      <c r="P68" s="266"/>
      <c r="Q68" s="266"/>
      <c r="R68" s="346" t="n">
        <v>6</v>
      </c>
      <c r="S68" s="266"/>
      <c r="T68" s="347" t="n">
        <v>3</v>
      </c>
      <c r="U68" s="221" t="n">
        <v>1</v>
      </c>
      <c r="V68" s="222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56"/>
      <c r="AU68" s="231" t="s">
        <v>107</v>
      </c>
      <c r="AV68" s="105" t="s">
        <v>216</v>
      </c>
      <c r="AW68" s="118" t="s">
        <v>30</v>
      </c>
      <c r="AX68" s="95" t="n">
        <f aca="false">0.5*(BF68+BG68+BH68)+BI68+BK68+2*(BL68+BM68)</f>
        <v>0</v>
      </c>
      <c r="AY68" s="95" t="n">
        <f aca="false">BF68*0.5+BG68*0.5+BH68*0.5+BI68+BJ68+BK68+2*(BL68+BM68+BN68)</f>
        <v>0</v>
      </c>
      <c r="AZ68" s="142"/>
      <c r="BA68" s="7" t="s">
        <v>42</v>
      </c>
      <c r="BC68" s="107" t="s">
        <v>48</v>
      </c>
      <c r="BD68" s="185" t="s">
        <v>14</v>
      </c>
      <c r="BE68" s="50"/>
      <c r="BF68" s="99"/>
      <c r="BG68" s="99"/>
      <c r="BH68" s="99"/>
      <c r="BI68" s="263"/>
      <c r="BJ68" s="144"/>
      <c r="BK68" s="265"/>
      <c r="BL68" s="99"/>
      <c r="BM68" s="99"/>
      <c r="BN68" s="99"/>
      <c r="BO68" s="108" t="n">
        <v>1</v>
      </c>
      <c r="BP68" s="109"/>
      <c r="BR68" s="344" t="s">
        <v>212</v>
      </c>
      <c r="BS68" s="93" t="s">
        <v>217</v>
      </c>
      <c r="BT68" s="118" t="s">
        <v>30</v>
      </c>
      <c r="BU68" s="95" t="n">
        <f aca="false">0.5*(CC68+CD68+CE68)+CF68+CH68+2*(CI68+CJ68)</f>
        <v>12</v>
      </c>
      <c r="BV68" s="95" t="n">
        <f aca="false">CC68*0.5+CD68*0.5+CE68*0.5+CF68+CG68+CH68+2*(CI68+CJ68+CK68)</f>
        <v>18</v>
      </c>
      <c r="BW68" s="280" t="e">
        <f aca="false">#VALUE!</f>
        <v>#VALUE!</v>
      </c>
      <c r="BX68" s="7" t="s">
        <v>214</v>
      </c>
      <c r="BY68" s="259"/>
      <c r="BZ68" s="176" t="s">
        <v>48</v>
      </c>
      <c r="CA68" s="98"/>
      <c r="CB68" s="98" t="s">
        <v>218</v>
      </c>
      <c r="CC68" s="99"/>
      <c r="CD68" s="99"/>
      <c r="CE68" s="99"/>
      <c r="CF68" s="99"/>
      <c r="CG68" s="99"/>
      <c r="CH68" s="99"/>
      <c r="CI68" s="100" t="n">
        <v>6</v>
      </c>
      <c r="CJ68" s="99"/>
      <c r="CK68" s="181" t="n">
        <v>3</v>
      </c>
      <c r="CL68" s="108" t="n">
        <v>1</v>
      </c>
      <c r="CM68" s="109"/>
      <c r="CN68" s="56"/>
      <c r="CO68" s="348" t="s">
        <v>219</v>
      </c>
      <c r="CP68" s="127" t="s">
        <v>220</v>
      </c>
      <c r="CQ68" s="118" t="s">
        <v>30</v>
      </c>
      <c r="CR68" s="95" t="n">
        <f aca="false">0.5*(CZ68+DA68+DB68)+DC68+DE68+2*(DF68+DG68)</f>
        <v>2</v>
      </c>
      <c r="CS68" s="95" t="n">
        <f aca="false">CZ68*0.5+DA68*0.5+DB68*0.5+DC68+DD68+DE68+2*(DF68+DG68+DH68)</f>
        <v>2</v>
      </c>
      <c r="CT68" s="103"/>
      <c r="CU68" s="119" t="s">
        <v>70</v>
      </c>
      <c r="CV68" s="349"/>
      <c r="CW68" s="119"/>
      <c r="CX68" s="119"/>
      <c r="CY68" s="114" t="s">
        <v>4</v>
      </c>
      <c r="CZ68" s="350" t="n">
        <v>4</v>
      </c>
      <c r="DA68" s="119"/>
      <c r="DB68" s="119"/>
      <c r="DC68" s="119"/>
      <c r="DD68" s="119"/>
      <c r="DE68" s="119"/>
      <c r="DF68" s="119"/>
      <c r="DG68" s="119"/>
      <c r="DH68" s="119"/>
      <c r="DI68" s="351" t="n">
        <v>1</v>
      </c>
      <c r="DJ68" s="94"/>
      <c r="DK68" s="11"/>
      <c r="DL68" s="11"/>
      <c r="DM68" s="11"/>
      <c r="DN68" s="11"/>
      <c r="DO68" s="11"/>
    </row>
    <row r="69" customFormat="false" ht="222.75" hidden="false" customHeight="true" outlineLevel="0" collapsed="false">
      <c r="A69" s="344" t="s">
        <v>212</v>
      </c>
      <c r="B69" s="93" t="s">
        <v>221</v>
      </c>
      <c r="C69" s="118" t="s">
        <v>36</v>
      </c>
      <c r="D69" s="95" t="n">
        <f aca="false">0.5*(L69+M69+N69)+O69+Q69+2*(R69+S69)</f>
        <v>4</v>
      </c>
      <c r="E69" s="95" t="n">
        <f aca="false">L69*0.5+M69*0.5+N69*0.5+O69+P69+Q69+2*(R69+S69+T69)</f>
        <v>4</v>
      </c>
      <c r="F69" s="162"/>
      <c r="G69" s="7" t="s">
        <v>51</v>
      </c>
      <c r="H69" s="259"/>
      <c r="I69" s="107" t="s">
        <v>48</v>
      </c>
      <c r="J69" s="98"/>
      <c r="K69" s="98" t="s">
        <v>140</v>
      </c>
      <c r="L69" s="99"/>
      <c r="M69" s="99"/>
      <c r="N69" s="99"/>
      <c r="O69" s="99"/>
      <c r="P69" s="99"/>
      <c r="Q69" s="99"/>
      <c r="R69" s="100" t="n">
        <v>2</v>
      </c>
      <c r="S69" s="99"/>
      <c r="T69" s="99"/>
      <c r="U69" s="108" t="n">
        <v>1</v>
      </c>
      <c r="V69" s="109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56"/>
      <c r="AU69" s="231" t="s">
        <v>107</v>
      </c>
      <c r="AV69" s="342" t="s">
        <v>222</v>
      </c>
      <c r="AW69" s="118" t="s">
        <v>30</v>
      </c>
      <c r="AX69" s="95" t="n">
        <f aca="false">0.5*(BF69+BG69+BH69)+BI69+BK69+2*(BL69+BM69)</f>
        <v>0</v>
      </c>
      <c r="AY69" s="95" t="n">
        <f aca="false">BF69*0.5+BG69*0.5+BH69*0.5+BI69+BJ69+BK69+2*(BL69+BM69+BN69)</f>
        <v>0</v>
      </c>
      <c r="AZ69" s="152"/>
      <c r="BA69" s="7" t="s">
        <v>42</v>
      </c>
      <c r="BB69" s="97"/>
      <c r="BC69" s="97"/>
      <c r="BD69" s="185" t="s">
        <v>14</v>
      </c>
      <c r="BE69" s="7" t="s">
        <v>157</v>
      </c>
      <c r="BO69" s="108" t="n">
        <v>1</v>
      </c>
      <c r="BP69" s="109"/>
      <c r="BR69" s="352" t="s">
        <v>223</v>
      </c>
      <c r="BS69" s="147" t="s">
        <v>224</v>
      </c>
      <c r="BT69" s="94" t="s">
        <v>36</v>
      </c>
      <c r="BU69" s="95" t="n">
        <f aca="false">0.5*(CC69+CD69+CE69)+CF69+CH69+2*(CI69+CJ69)</f>
        <v>0</v>
      </c>
      <c r="BV69" s="95" t="n">
        <f aca="false">CC69*0.5+CD69*0.5+CE69*0.5+CF69+CG69+CH69+2*(CI69+CJ69+CK69)</f>
        <v>0</v>
      </c>
      <c r="BW69" s="206"/>
      <c r="BX69" s="7" t="s">
        <v>51</v>
      </c>
      <c r="BY69" s="103"/>
      <c r="BZ69" s="103"/>
      <c r="CA69" s="103"/>
      <c r="CB69" s="119" t="s">
        <v>225</v>
      </c>
      <c r="CC69" s="129"/>
      <c r="CD69" s="129"/>
      <c r="CE69" s="129"/>
      <c r="CF69" s="129"/>
      <c r="CG69" s="129"/>
      <c r="CH69" s="129"/>
      <c r="CI69" s="129"/>
      <c r="CJ69" s="129"/>
      <c r="CK69" s="129"/>
      <c r="CL69" s="102" t="n">
        <v>1</v>
      </c>
      <c r="CM69" s="103"/>
      <c r="CN69" s="56"/>
      <c r="CO69" s="353" t="s">
        <v>226</v>
      </c>
      <c r="CP69" s="310" t="s">
        <v>227</v>
      </c>
      <c r="CQ69" s="311" t="s">
        <v>30</v>
      </c>
      <c r="CR69" s="312" t="n">
        <f aca="false">0.5*(CZ69+DA69+DB69)+DC69+DE69+2*(DF69+DG69)</f>
        <v>0</v>
      </c>
      <c r="CS69" s="312" t="n">
        <f aca="false">CZ69*0.5+DA69*0.5+DB69*0.5+DC69+DD69+DE69+2*(DF69+DG69+DH69)</f>
        <v>0</v>
      </c>
      <c r="CT69" s="313"/>
      <c r="CU69" s="314" t="s">
        <v>200</v>
      </c>
      <c r="CV69" s="315"/>
      <c r="CW69" s="315"/>
      <c r="CX69" s="315"/>
      <c r="CY69" s="316" t="s">
        <v>174</v>
      </c>
      <c r="CZ69" s="315"/>
      <c r="DA69" s="315"/>
      <c r="DB69" s="315"/>
      <c r="DC69" s="315"/>
      <c r="DD69" s="315"/>
      <c r="DE69" s="315"/>
      <c r="DF69" s="315"/>
      <c r="DG69" s="315"/>
      <c r="DH69" s="315"/>
      <c r="DI69" s="317" t="n">
        <v>1</v>
      </c>
      <c r="DJ69" s="151" t="s">
        <v>61</v>
      </c>
      <c r="DK69" s="11"/>
      <c r="DL69" s="11"/>
      <c r="DM69" s="11"/>
      <c r="DN69" s="11"/>
      <c r="DO69" s="11"/>
    </row>
    <row r="70" customFormat="false" ht="226.5" hidden="false" customHeight="true" outlineLevel="0" collapsed="false">
      <c r="A70" s="354" t="s">
        <v>228</v>
      </c>
      <c r="B70" s="355" t="s">
        <v>229</v>
      </c>
      <c r="C70" s="118" t="s">
        <v>36</v>
      </c>
      <c r="D70" s="95" t="n">
        <f aca="false">0.5*(L70+M70+N70)+O70+Q70+2*(R70+S70)</f>
        <v>0</v>
      </c>
      <c r="E70" s="95" t="n">
        <f aca="false">L70*0.5+M70*0.5+N70*0.5+O70+P70+Q70+2*(R70+S70+T70)</f>
        <v>0</v>
      </c>
      <c r="F70" s="356"/>
      <c r="G70" s="7" t="s">
        <v>42</v>
      </c>
      <c r="H70" s="233"/>
      <c r="I70" s="233"/>
      <c r="J70" s="233"/>
      <c r="K70" s="233" t="s">
        <v>230</v>
      </c>
      <c r="L70" s="235"/>
      <c r="M70" s="235"/>
      <c r="N70" s="235"/>
      <c r="O70" s="235"/>
      <c r="P70" s="235"/>
      <c r="Q70" s="235"/>
      <c r="R70" s="235"/>
      <c r="S70" s="235"/>
      <c r="T70" s="235"/>
      <c r="U70" s="236" t="n">
        <v>1</v>
      </c>
      <c r="V70" s="103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56"/>
      <c r="AU70" s="231" t="s">
        <v>107</v>
      </c>
      <c r="AV70" s="342" t="s">
        <v>231</v>
      </c>
      <c r="AW70" s="118" t="s">
        <v>30</v>
      </c>
      <c r="AX70" s="95" t="n">
        <f aca="false">0.5*(BF70+BG70+BH70)+BI70+BK70+2*(BL70+BM70)</f>
        <v>0</v>
      </c>
      <c r="AY70" s="95" t="n">
        <f aca="false">BF70*0.5+BG70*0.5+BH70*0.5+BI70+BJ70+BK70+2*(BL70+BM70+BN70)</f>
        <v>0</v>
      </c>
      <c r="AZ70" s="152"/>
      <c r="BA70" s="7" t="s">
        <v>70</v>
      </c>
      <c r="BB70" s="97"/>
      <c r="BC70" s="103"/>
      <c r="BD70" s="98"/>
      <c r="BE70" s="259"/>
      <c r="BF70" s="50"/>
      <c r="BG70" s="50"/>
      <c r="BH70" s="50"/>
      <c r="BI70" s="50"/>
      <c r="BJ70" s="50"/>
      <c r="BK70" s="50"/>
      <c r="BL70" s="50"/>
      <c r="BM70" s="50"/>
      <c r="BN70" s="50"/>
      <c r="BO70" s="108" t="n">
        <v>1</v>
      </c>
      <c r="BP70" s="109"/>
      <c r="BR70" s="352" t="s">
        <v>223</v>
      </c>
      <c r="BS70" s="156" t="s">
        <v>232</v>
      </c>
      <c r="BT70" s="118" t="s">
        <v>36</v>
      </c>
      <c r="BU70" s="95" t="n">
        <f aca="false">0.5*(CC70+CD70+CE70)+CF70+CH70+2*(CI70+CJ70)</f>
        <v>3</v>
      </c>
      <c r="BV70" s="95" t="n">
        <f aca="false">CC70*0.5+CD70*0.5+CE70*0.5+CF70+CG70+CH70+2*(CI70+CJ70+CK70)</f>
        <v>3</v>
      </c>
      <c r="BW70" s="164"/>
      <c r="BX70" s="7" t="s">
        <v>51</v>
      </c>
      <c r="BY70" s="357" t="s">
        <v>233</v>
      </c>
      <c r="BZ70" s="259"/>
      <c r="CA70" s="50"/>
      <c r="CB70" s="50" t="s">
        <v>234</v>
      </c>
      <c r="CC70" s="99"/>
      <c r="CD70" s="99"/>
      <c r="CE70" s="301"/>
      <c r="CF70" s="133"/>
      <c r="CG70" s="99"/>
      <c r="CH70" s="358" t="n">
        <v>1</v>
      </c>
      <c r="CI70" s="358" t="n">
        <v>1</v>
      </c>
      <c r="CJ70" s="99"/>
      <c r="CK70" s="99"/>
      <c r="CL70" s="102" t="n">
        <v>1</v>
      </c>
      <c r="CM70" s="359"/>
      <c r="CN70" s="2"/>
      <c r="CO70" s="231" t="s">
        <v>107</v>
      </c>
      <c r="CP70" s="156" t="s">
        <v>235</v>
      </c>
      <c r="CQ70" s="118" t="s">
        <v>30</v>
      </c>
      <c r="CR70" s="95" t="n">
        <f aca="false">0.5*(CZ70+DA70+DB70)+DC70+DE70+2*(DF70+DG70)</f>
        <v>0</v>
      </c>
      <c r="CS70" s="95" t="n">
        <f aca="false">CZ70*0.5+DA70*0.5+DB70*0.5+DC70+DD70+DE70+2*(DF70+DG70+DH70)</f>
        <v>0</v>
      </c>
      <c r="CT70" s="96"/>
      <c r="CU70" s="7" t="s">
        <v>70</v>
      </c>
      <c r="CV70" s="106"/>
      <c r="CW70" s="193"/>
      <c r="CX70" s="168"/>
      <c r="CY70" s="114" t="s">
        <v>236</v>
      </c>
      <c r="CZ70" s="196"/>
      <c r="DA70" s="196"/>
      <c r="DB70" s="196"/>
      <c r="DC70" s="196"/>
      <c r="DD70" s="196"/>
      <c r="DE70" s="196"/>
      <c r="DF70" s="196"/>
      <c r="DG70" s="196"/>
      <c r="DH70" s="196"/>
      <c r="DI70" s="108" t="n">
        <v>1</v>
      </c>
      <c r="DJ70" s="360" t="s">
        <v>237</v>
      </c>
      <c r="DK70" s="11"/>
      <c r="DL70" s="11"/>
      <c r="DM70" s="11"/>
      <c r="DN70" s="11"/>
      <c r="DO70" s="11"/>
    </row>
    <row r="71" customFormat="false" ht="203.25" hidden="false" customHeight="true" outlineLevel="0" collapsed="false">
      <c r="A71" s="231" t="s">
        <v>107</v>
      </c>
      <c r="B71" s="361" t="s">
        <v>238</v>
      </c>
      <c r="C71" s="94" t="s">
        <v>36</v>
      </c>
      <c r="D71" s="95" t="n">
        <f aca="false">0.5*(L71+M71+N71)+O71+Q71+2*(R71+S71)</f>
        <v>2</v>
      </c>
      <c r="E71" s="95" t="n">
        <f aca="false">L71*0.5+M71*0.5+N71*0.5+O71+P71+Q71+2*(R71+S71+T71)</f>
        <v>2</v>
      </c>
      <c r="F71" s="362"/>
      <c r="G71" s="363" t="s">
        <v>42</v>
      </c>
      <c r="H71" s="364" t="s">
        <v>239</v>
      </c>
      <c r="I71" s="363"/>
      <c r="J71" s="365"/>
      <c r="K71" s="365" t="s">
        <v>240</v>
      </c>
      <c r="L71" s="366"/>
      <c r="M71" s="366"/>
      <c r="N71" s="366"/>
      <c r="O71" s="367" t="n">
        <v>2</v>
      </c>
      <c r="P71" s="366"/>
      <c r="Q71" s="366"/>
      <c r="R71" s="366"/>
      <c r="S71" s="366"/>
      <c r="T71" s="366"/>
      <c r="U71" s="368" t="n">
        <v>1</v>
      </c>
      <c r="V71" s="167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56"/>
      <c r="AU71" s="231" t="s">
        <v>107</v>
      </c>
      <c r="AV71" s="342" t="s">
        <v>241</v>
      </c>
      <c r="AW71" s="118" t="s">
        <v>30</v>
      </c>
      <c r="AX71" s="95" t="n">
        <f aca="false">0.5*(BF71+BG71+BH71)+BI71+BK71+2*(BL71+BM71)</f>
        <v>0</v>
      </c>
      <c r="AY71" s="95" t="n">
        <f aca="false">BF71*0.5+BG71*0.5+BH71*0.5+BI71+BJ71+BK71+2*(BL71+BM71+BN71)</f>
        <v>0</v>
      </c>
      <c r="AZ71" s="152"/>
      <c r="BA71" s="7" t="s">
        <v>42</v>
      </c>
      <c r="BB71" s="205"/>
      <c r="BC71" s="103"/>
      <c r="BD71" s="168"/>
      <c r="BE71" s="50" t="s">
        <v>88</v>
      </c>
      <c r="BO71" s="108" t="n">
        <v>1</v>
      </c>
      <c r="BP71" s="7"/>
      <c r="BR71" s="352" t="s">
        <v>223</v>
      </c>
      <c r="BS71" s="369" t="s">
        <v>242</v>
      </c>
      <c r="BT71" s="94" t="s">
        <v>36</v>
      </c>
      <c r="BU71" s="95" t="n">
        <f aca="false">0.5*(CC71+CD71+CE71)+CF71+CH71+2*(CI71+CJ71)</f>
        <v>0</v>
      </c>
      <c r="BV71" s="95" t="n">
        <f aca="false">CC71*0.5+CD71*0.5+CE71*0.5+CF71+CG71+CH71+2*(CI71+CJ71+CK71)</f>
        <v>0</v>
      </c>
      <c r="BW71" s="50" t="e">
        <f aca="false">#VALUE!</f>
        <v>#VALUE!</v>
      </c>
      <c r="BX71" s="7" t="s">
        <v>51</v>
      </c>
      <c r="BY71" s="7"/>
      <c r="BZ71" s="7"/>
      <c r="CA71" s="50"/>
      <c r="CB71" s="7" t="s">
        <v>157</v>
      </c>
      <c r="CC71" s="129"/>
      <c r="CD71" s="129"/>
      <c r="CE71" s="129"/>
      <c r="CF71" s="129"/>
      <c r="CG71" s="129"/>
      <c r="CH71" s="129"/>
      <c r="CI71" s="129"/>
      <c r="CJ71" s="129"/>
      <c r="CK71" s="129"/>
      <c r="CL71" s="108" t="n">
        <v>1</v>
      </c>
      <c r="CM71" s="109"/>
      <c r="CN71" s="2"/>
      <c r="CO71" s="2"/>
      <c r="CQ71" s="2"/>
      <c r="CR71" s="2"/>
      <c r="CS71" s="2"/>
      <c r="CT71" s="2"/>
      <c r="CW71" s="2"/>
      <c r="CX71" s="2"/>
      <c r="DB71" s="2"/>
      <c r="DK71" s="11"/>
      <c r="DL71" s="11"/>
      <c r="DM71" s="11"/>
      <c r="DN71" s="11"/>
      <c r="DO71" s="11"/>
    </row>
    <row r="72" customFormat="false" ht="236.25" hidden="false" customHeight="true" outlineLevel="0" collapsed="false">
      <c r="A72" s="231" t="s">
        <v>107</v>
      </c>
      <c r="B72" s="93" t="s">
        <v>243</v>
      </c>
      <c r="C72" s="94" t="s">
        <v>36</v>
      </c>
      <c r="D72" s="95" t="n">
        <f aca="false">0.5*(L72+M72+N72)+O72+Q72+2*(R72+S72)</f>
        <v>7</v>
      </c>
      <c r="E72" s="95" t="n">
        <f aca="false">L72*0.5+M72*0.5+N72*0.5+O72+P72+Q72+2*(R72+S72+T72)</f>
        <v>7</v>
      </c>
      <c r="F72" s="96"/>
      <c r="G72" s="7" t="s">
        <v>78</v>
      </c>
      <c r="H72" s="106"/>
      <c r="I72" s="106"/>
      <c r="J72" s="168"/>
      <c r="K72" s="50" t="s">
        <v>244</v>
      </c>
      <c r="L72" s="99"/>
      <c r="M72" s="99"/>
      <c r="N72" s="133"/>
      <c r="O72" s="100" t="n">
        <v>7</v>
      </c>
      <c r="P72" s="99"/>
      <c r="Q72" s="99"/>
      <c r="R72" s="99"/>
      <c r="S72" s="99"/>
      <c r="T72" s="99"/>
      <c r="U72" s="108" t="n">
        <v>1</v>
      </c>
      <c r="V72" s="370"/>
      <c r="W72" s="205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56"/>
      <c r="AU72" s="231" t="s">
        <v>107</v>
      </c>
      <c r="AV72" s="342" t="s">
        <v>245</v>
      </c>
      <c r="AW72" s="118" t="s">
        <v>30</v>
      </c>
      <c r="AX72" s="95" t="n">
        <f aca="false">0.5*(BF72+BG72+BH72)+BI72+BK72+2*(BL72+BM72)</f>
        <v>0</v>
      </c>
      <c r="AY72" s="95" t="n">
        <f aca="false">BF72*0.5+BG72*0.5+BH72*0.5+BI72+BJ72+BK72+2*(BL72+BM72+BN72)</f>
        <v>0</v>
      </c>
      <c r="AZ72" s="152"/>
      <c r="BA72" s="7" t="s">
        <v>70</v>
      </c>
      <c r="BB72" s="97"/>
      <c r="BC72" s="103"/>
      <c r="BD72" s="168"/>
      <c r="BE72" s="153" t="s">
        <v>246</v>
      </c>
      <c r="BO72" s="108" t="n">
        <v>1</v>
      </c>
      <c r="BP72" s="269"/>
      <c r="BR72" s="352" t="s">
        <v>223</v>
      </c>
      <c r="BS72" s="93" t="s">
        <v>247</v>
      </c>
      <c r="BT72" s="94" t="s">
        <v>36</v>
      </c>
      <c r="BU72" s="95" t="n">
        <f aca="false">0.5*(CC72+CD72+CE72)+CF72+CH72+2*(CI72+CJ72)</f>
        <v>0.5</v>
      </c>
      <c r="BV72" s="95" t="n">
        <f aca="false">CC72*0.5+CD72*0.5+CE72*0.5+CF72+CG72+CH72+2*(CI72+CJ72+CK72)</f>
        <v>0.5</v>
      </c>
      <c r="BW72" s="164"/>
      <c r="BX72" s="7" t="s">
        <v>51</v>
      </c>
      <c r="BY72" s="7"/>
      <c r="BZ72" s="7"/>
      <c r="CA72" s="50"/>
      <c r="CB72" s="50" t="s">
        <v>234</v>
      </c>
      <c r="CC72" s="50"/>
      <c r="CD72" s="371"/>
      <c r="CE72" s="358" t="n">
        <v>1</v>
      </c>
      <c r="CF72" s="50"/>
      <c r="CG72" s="50"/>
      <c r="CH72" s="50"/>
      <c r="CI72" s="50"/>
      <c r="CJ72" s="50"/>
      <c r="CK72" s="50"/>
      <c r="CL72" s="108" t="n">
        <v>1</v>
      </c>
      <c r="CM72" s="138"/>
      <c r="CN72" s="2"/>
      <c r="CO72" s="2"/>
      <c r="CQ72" s="2"/>
      <c r="CR72" s="2"/>
      <c r="CS72" s="2"/>
      <c r="CT72" s="2"/>
      <c r="CW72" s="2"/>
      <c r="CX72" s="2"/>
      <c r="DB72" s="2"/>
      <c r="DK72" s="11"/>
      <c r="DL72" s="11"/>
      <c r="DM72" s="11"/>
      <c r="DN72" s="11"/>
      <c r="DO72" s="11"/>
    </row>
    <row r="73" customFormat="false" ht="247.5" hidden="false" customHeight="true" outlineLevel="0" collapsed="false">
      <c r="A73" s="103"/>
      <c r="B73" s="93" t="s">
        <v>248</v>
      </c>
      <c r="C73" s="94" t="s">
        <v>36</v>
      </c>
      <c r="D73" s="95" t="n">
        <f aca="false">0.5*(L73+M73+N73)+O73+Q73+2*(R73+S73)</f>
        <v>0</v>
      </c>
      <c r="E73" s="95" t="n">
        <f aca="false">L73*0.5+M73*0.5+N73*0.5+O73+P73+Q73+2*(R73+S73+T73)</f>
        <v>0</v>
      </c>
      <c r="F73" s="96"/>
      <c r="G73" s="7" t="s">
        <v>70</v>
      </c>
      <c r="H73" s="103"/>
      <c r="I73" s="107" t="s">
        <v>48</v>
      </c>
      <c r="J73" s="98"/>
      <c r="K73" s="50" t="s">
        <v>249</v>
      </c>
      <c r="L73" s="196"/>
      <c r="M73" s="144"/>
      <c r="N73" s="196"/>
      <c r="O73" s="144"/>
      <c r="P73" s="196"/>
      <c r="Q73" s="196"/>
      <c r="R73" s="372"/>
      <c r="S73" s="196"/>
      <c r="T73" s="196"/>
      <c r="U73" s="373" t="n">
        <v>1</v>
      </c>
      <c r="V73" s="194"/>
      <c r="W73" s="205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56"/>
      <c r="AU73" s="231" t="s">
        <v>107</v>
      </c>
      <c r="AV73" s="342" t="s">
        <v>250</v>
      </c>
      <c r="AW73" s="118" t="s">
        <v>30</v>
      </c>
      <c r="AX73" s="95" t="n">
        <f aca="false">0.5*(BF73+BG73+BH73)+BI73+BK73+2*(BL73+BM73)</f>
        <v>0</v>
      </c>
      <c r="AY73" s="95" t="n">
        <f aca="false">BF73*0.5+BG73*0.5+BH73*0.5+BI73+BJ73+BK73+2*(BL73+BM73+BN73)</f>
        <v>0</v>
      </c>
      <c r="AZ73" s="152"/>
      <c r="BA73" s="7" t="s">
        <v>51</v>
      </c>
      <c r="BB73" s="97"/>
      <c r="BC73" s="103"/>
      <c r="BD73" s="168"/>
      <c r="BE73" s="50" t="s">
        <v>88</v>
      </c>
      <c r="BO73" s="108" t="n">
        <v>1</v>
      </c>
      <c r="BP73" s="269"/>
      <c r="BR73" s="352" t="s">
        <v>223</v>
      </c>
      <c r="BS73" s="93" t="s">
        <v>251</v>
      </c>
      <c r="BT73" s="94" t="s">
        <v>36</v>
      </c>
      <c r="BU73" s="95" t="n">
        <f aca="false">0.5*(CC73+CD73+CE73)+CF73+CH73+2*(CI73+CJ73)</f>
        <v>0.5</v>
      </c>
      <c r="BV73" s="95" t="n">
        <f aca="false">CC73*0.5+CD73*0.5+CE73*0.5+CF73+CG73+CH73+2*(CI73+CJ73+CK73)</f>
        <v>0.5</v>
      </c>
      <c r="BW73" s="152"/>
      <c r="BX73" s="7" t="s">
        <v>51</v>
      </c>
      <c r="BY73" s="7"/>
      <c r="BZ73" s="7"/>
      <c r="CA73" s="50"/>
      <c r="CB73" s="50" t="s">
        <v>88</v>
      </c>
      <c r="CD73" s="358" t="n">
        <v>1</v>
      </c>
      <c r="CL73" s="108" t="n">
        <v>1</v>
      </c>
      <c r="CM73" s="154"/>
      <c r="CN73" s="2"/>
      <c r="CO73" s="2"/>
      <c r="CQ73" s="2"/>
      <c r="CR73" s="2"/>
      <c r="CS73" s="2"/>
      <c r="CT73" s="2"/>
      <c r="CW73" s="2"/>
      <c r="CX73" s="2"/>
      <c r="DB73" s="2"/>
      <c r="DK73" s="11"/>
      <c r="DL73" s="11"/>
      <c r="DM73" s="11"/>
      <c r="DN73" s="11"/>
      <c r="DO73" s="11"/>
    </row>
    <row r="74" customFormat="false" ht="248.25" hidden="false" customHeight="true" outlineLevel="0" collapsed="false">
      <c r="A74" s="103"/>
      <c r="B74" s="93" t="s">
        <v>252</v>
      </c>
      <c r="C74" s="94" t="s">
        <v>36</v>
      </c>
      <c r="D74" s="95" t="n">
        <f aca="false">0.5*(L74+M74+N74)+O74+Q74+2*(R74+S74)</f>
        <v>0</v>
      </c>
      <c r="E74" s="95" t="n">
        <f aca="false">L74*0.5+M74*0.5+N74*0.5+O74+P74+Q74+2*(R74+S74+T74)</f>
        <v>0</v>
      </c>
      <c r="F74" s="96"/>
      <c r="G74" s="7" t="s">
        <v>42</v>
      </c>
      <c r="H74" s="103"/>
      <c r="I74" s="107"/>
      <c r="J74" s="98"/>
      <c r="K74" s="374" t="s">
        <v>253</v>
      </c>
      <c r="L74" s="196"/>
      <c r="M74" s="144"/>
      <c r="N74" s="196"/>
      <c r="O74" s="144"/>
      <c r="P74" s="196"/>
      <c r="Q74" s="196"/>
      <c r="R74" s="372"/>
      <c r="S74" s="196"/>
      <c r="T74" s="196"/>
      <c r="U74" s="373" t="n">
        <v>1</v>
      </c>
      <c r="V74" s="194"/>
      <c r="W74" s="205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56"/>
      <c r="AU74" s="231" t="s">
        <v>107</v>
      </c>
      <c r="AV74" s="342" t="s">
        <v>254</v>
      </c>
      <c r="AW74" s="118" t="s">
        <v>30</v>
      </c>
      <c r="AX74" s="95" t="n">
        <f aca="false">0.5*(BF74+BG74+BH74)+BI74+BK74+2*(BL74+BM74)</f>
        <v>0</v>
      </c>
      <c r="AY74" s="95" t="n">
        <f aca="false">BF74*0.5+BG74*0.5+BH74*0.5+BI74+BJ74+BK74+2*(BL74+BM74+BN74)</f>
        <v>0</v>
      </c>
      <c r="AZ74" s="152"/>
      <c r="BA74" s="7" t="s">
        <v>51</v>
      </c>
      <c r="BB74" s="97"/>
      <c r="BC74" s="103"/>
      <c r="BD74" s="168"/>
      <c r="BE74" s="153" t="s">
        <v>88</v>
      </c>
      <c r="BO74" s="108" t="n">
        <v>1</v>
      </c>
      <c r="BP74" s="269"/>
      <c r="BR74" s="352" t="s">
        <v>223</v>
      </c>
      <c r="BS74" s="375" t="s">
        <v>255</v>
      </c>
      <c r="BT74" s="376" t="s">
        <v>36</v>
      </c>
      <c r="BU74" s="326" t="n">
        <f aca="false">0.5*(CC74+CD74+CE74)+CF74+CH74+2*(CI74+CJ74)</f>
        <v>5</v>
      </c>
      <c r="BV74" s="326" t="n">
        <f aca="false">CC74*0.5+CD74*0.5+CE74*0.5+CF74+CG74+CH74+2*(CI74+CJ74+CK74)</f>
        <v>5</v>
      </c>
      <c r="BW74" s="377"/>
      <c r="BX74" s="7" t="s">
        <v>70</v>
      </c>
      <c r="BY74" s="305"/>
      <c r="BZ74" s="107" t="s">
        <v>48</v>
      </c>
      <c r="CA74" s="274"/>
      <c r="CB74" s="274" t="s">
        <v>256</v>
      </c>
      <c r="CC74" s="275"/>
      <c r="CD74" s="275"/>
      <c r="CE74" s="275"/>
      <c r="CF74" s="358" t="n">
        <v>5</v>
      </c>
      <c r="CG74" s="275"/>
      <c r="CH74" s="275"/>
      <c r="CI74" s="275"/>
      <c r="CJ74" s="275"/>
      <c r="CK74" s="275"/>
      <c r="CL74" s="108" t="n">
        <v>1</v>
      </c>
      <c r="CM74" s="378"/>
      <c r="CN74" s="2"/>
      <c r="CO74" s="205"/>
      <c r="CP74" s="205"/>
      <c r="CQ74" s="205"/>
      <c r="CR74" s="205"/>
      <c r="CS74" s="205"/>
      <c r="CT74" s="205"/>
      <c r="CU74" s="205"/>
      <c r="CV74" s="205"/>
      <c r="CW74" s="205"/>
      <c r="CX74" s="205"/>
      <c r="CY74" s="205"/>
      <c r="CZ74" s="205"/>
      <c r="DA74" s="205"/>
      <c r="DB74" s="205"/>
      <c r="DC74" s="205"/>
      <c r="DD74" s="205"/>
      <c r="DE74" s="205"/>
      <c r="DF74" s="205"/>
      <c r="DG74" s="205"/>
      <c r="DH74" s="205"/>
      <c r="DI74" s="205"/>
      <c r="DJ74" s="205"/>
      <c r="DK74" s="11"/>
      <c r="DL74" s="11"/>
      <c r="DM74" s="11"/>
      <c r="DN74" s="11"/>
      <c r="DO74" s="11"/>
    </row>
    <row r="75" customFormat="false" ht="298.5" hidden="false" customHeight="true" outlineLevel="0" collapsed="false">
      <c r="A75" s="319" t="s">
        <v>178</v>
      </c>
      <c r="B75" s="379" t="s">
        <v>257</v>
      </c>
      <c r="C75" s="118" t="s">
        <v>77</v>
      </c>
      <c r="D75" s="95" t="n">
        <f aca="false">0.5*(L75+M75+N75)+O75+Q75+2*(R75+S75)</f>
        <v>2</v>
      </c>
      <c r="E75" s="95" t="n">
        <f aca="false">L75*0.5+M75*0.5+N75*0.5+O75+P75+Q75+2*(R75+S75+T75)</f>
        <v>2</v>
      </c>
      <c r="F75" s="380"/>
      <c r="G75" s="381" t="s">
        <v>51</v>
      </c>
      <c r="H75" s="98"/>
      <c r="I75" s="382"/>
      <c r="J75" s="383"/>
      <c r="K75" s="383" t="s">
        <v>258</v>
      </c>
      <c r="L75" s="384"/>
      <c r="M75" s="384"/>
      <c r="N75" s="384"/>
      <c r="O75" s="372"/>
      <c r="P75" s="384"/>
      <c r="Q75" s="384"/>
      <c r="R75" s="385" t="n">
        <v>1</v>
      </c>
      <c r="S75" s="384"/>
      <c r="T75" s="386"/>
      <c r="U75" s="387" t="n">
        <v>1</v>
      </c>
      <c r="V75" s="388"/>
      <c r="W75" s="205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56"/>
      <c r="AU75" s="231" t="s">
        <v>107</v>
      </c>
      <c r="AV75" s="342" t="s">
        <v>259</v>
      </c>
      <c r="AW75" s="118" t="s">
        <v>30</v>
      </c>
      <c r="AX75" s="95" t="n">
        <f aca="false">0.5*(BF75+BG75+BH75)+BI75+BK75+2*(BL75+BM75)</f>
        <v>0</v>
      </c>
      <c r="AY75" s="95" t="n">
        <f aca="false">BF75*0.5+BG75*0.5+BH75*0.5+BI75+BJ75+BK75+2*(BL75+BM75+BN75)</f>
        <v>0</v>
      </c>
      <c r="AZ75" s="152"/>
      <c r="BA75" s="292" t="s">
        <v>42</v>
      </c>
      <c r="BB75" s="293"/>
      <c r="BC75" s="97"/>
      <c r="BD75" s="185" t="s">
        <v>14</v>
      </c>
      <c r="BE75" s="7" t="s">
        <v>157</v>
      </c>
      <c r="BO75" s="108" t="n">
        <v>1</v>
      </c>
      <c r="BP75" s="109"/>
      <c r="BR75" s="352" t="s">
        <v>223</v>
      </c>
      <c r="BS75" s="369" t="s">
        <v>260</v>
      </c>
      <c r="BT75" s="118" t="s">
        <v>77</v>
      </c>
      <c r="BU75" s="95" t="n">
        <f aca="false">0.5*(CC75+CD75+CE75)+CF75+CH75+2*(CI75+CJ75)</f>
        <v>2</v>
      </c>
      <c r="BV75" s="95" t="n">
        <f aca="false">CC75*0.5+CD75*0.5+CE75*0.5+CF75+CG75+CH75+2*(CI75+CJ75+CK75)</f>
        <v>2</v>
      </c>
      <c r="BW75" s="164"/>
      <c r="BX75" s="7" t="s">
        <v>51</v>
      </c>
      <c r="BY75" s="7"/>
      <c r="BZ75" s="7"/>
      <c r="CA75" s="50"/>
      <c r="CB75" s="50" t="s">
        <v>234</v>
      </c>
      <c r="CC75" s="99"/>
      <c r="CD75" s="99"/>
      <c r="CE75" s="99"/>
      <c r="CF75" s="99"/>
      <c r="CG75" s="99"/>
      <c r="CH75" s="358" t="n">
        <v>2</v>
      </c>
      <c r="CI75" s="99"/>
      <c r="CJ75" s="99"/>
      <c r="CK75" s="99"/>
      <c r="CL75" s="108" t="n">
        <v>1</v>
      </c>
      <c r="CM75" s="154"/>
      <c r="CN75" s="2"/>
      <c r="CO75" s="205"/>
      <c r="CP75" s="205"/>
      <c r="CQ75" s="205"/>
      <c r="CR75" s="205"/>
      <c r="CS75" s="205"/>
      <c r="CT75" s="205"/>
      <c r="CU75" s="205"/>
      <c r="CV75" s="205"/>
      <c r="CW75" s="205"/>
      <c r="CX75" s="205"/>
      <c r="CY75" s="205"/>
      <c r="CZ75" s="205"/>
      <c r="DA75" s="205"/>
      <c r="DB75" s="205"/>
      <c r="DC75" s="205"/>
      <c r="DD75" s="205"/>
      <c r="DE75" s="205"/>
      <c r="DF75" s="205"/>
      <c r="DG75" s="205"/>
      <c r="DH75" s="205"/>
      <c r="DI75" s="205"/>
      <c r="DJ75" s="205"/>
      <c r="DK75" s="11"/>
      <c r="DL75" s="11"/>
      <c r="DM75" s="11"/>
      <c r="DN75" s="11"/>
      <c r="DO75" s="11"/>
    </row>
    <row r="76" customFormat="false" ht="307.5" hidden="false" customHeight="true" outlineLevel="0" collapsed="false">
      <c r="A76" s="319" t="s">
        <v>178</v>
      </c>
      <c r="B76" s="375" t="s">
        <v>261</v>
      </c>
      <c r="C76" s="118" t="s">
        <v>77</v>
      </c>
      <c r="D76" s="95" t="n">
        <f aca="false">0.5*(L76+M76+N76)+O76+Q76+2*(R76+S76)</f>
        <v>2</v>
      </c>
      <c r="E76" s="95" t="n">
        <f aca="false">L76*0.5+M76*0.5+N76*0.5+O76+P76+Q76+2*(R76+S76+T76)</f>
        <v>4</v>
      </c>
      <c r="F76" s="389"/>
      <c r="G76" s="305" t="s">
        <v>51</v>
      </c>
      <c r="H76" s="259"/>
      <c r="I76" s="305"/>
      <c r="J76" s="274"/>
      <c r="K76" s="390" t="s">
        <v>262</v>
      </c>
      <c r="L76" s="300"/>
      <c r="M76" s="300"/>
      <c r="N76" s="300"/>
      <c r="O76" s="358" t="n">
        <v>2</v>
      </c>
      <c r="P76" s="300"/>
      <c r="Q76" s="300"/>
      <c r="R76" s="300"/>
      <c r="S76" s="300"/>
      <c r="T76" s="181" t="n">
        <v>1</v>
      </c>
      <c r="U76" s="125" t="n">
        <v>1</v>
      </c>
      <c r="V76" s="109"/>
      <c r="W76" s="205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205"/>
      <c r="AU76" s="231" t="s">
        <v>107</v>
      </c>
      <c r="AV76" s="391" t="s">
        <v>263</v>
      </c>
      <c r="AW76" s="118" t="s">
        <v>30</v>
      </c>
      <c r="AX76" s="95" t="n">
        <f aca="false">0.5*(BF76+BG76+BH76)+BI76+BK76+2*(BL76+BM76)</f>
        <v>0</v>
      </c>
      <c r="AY76" s="95" t="n">
        <f aca="false">BF76*0.5+BG76*0.5+BH76*0.5+BI76+BJ76+BK76+2*(BL76+BM76+BN76)</f>
        <v>0</v>
      </c>
      <c r="AZ76" s="273"/>
      <c r="BA76" s="305" t="s">
        <v>42</v>
      </c>
      <c r="BB76" s="305"/>
      <c r="BC76" s="7"/>
      <c r="BD76" s="392" t="s">
        <v>14</v>
      </c>
      <c r="BE76" s="274" t="s">
        <v>88</v>
      </c>
      <c r="BF76" s="274"/>
      <c r="BG76" s="274"/>
      <c r="BH76" s="274"/>
      <c r="BI76" s="274"/>
      <c r="BJ76" s="274"/>
      <c r="BK76" s="274"/>
      <c r="BL76" s="274"/>
      <c r="BM76" s="274"/>
      <c r="BN76" s="274"/>
      <c r="BO76" s="125" t="n">
        <v>1</v>
      </c>
      <c r="BP76" s="276"/>
      <c r="BQ76" s="88"/>
      <c r="BR76" s="352" t="s">
        <v>223</v>
      </c>
      <c r="BS76" s="93" t="s">
        <v>264</v>
      </c>
      <c r="BT76" s="118" t="s">
        <v>77</v>
      </c>
      <c r="BU76" s="95" t="n">
        <f aca="false">0.5*(CC76+CD76+CE76)+CF76+CH76+2*(CI76+CJ76)</f>
        <v>0.5</v>
      </c>
      <c r="BV76" s="95" t="n">
        <f aca="false">CC76*0.5+CD76*0.5+CE76*0.5+CF76+CG76+CH76+2*(CI76+CJ76+CK76)</f>
        <v>0.5</v>
      </c>
      <c r="BW76" s="164"/>
      <c r="BX76" s="7" t="s">
        <v>51</v>
      </c>
      <c r="BY76" s="7"/>
      <c r="BZ76" s="7"/>
      <c r="CA76" s="50"/>
      <c r="CB76" s="7"/>
      <c r="CD76" s="358" t="n">
        <v>1</v>
      </c>
      <c r="CL76" s="108" t="n">
        <v>1</v>
      </c>
      <c r="CM76" s="138"/>
      <c r="CN76" s="2"/>
      <c r="CO76" s="205"/>
      <c r="CP76" s="205"/>
      <c r="CQ76" s="205"/>
      <c r="CR76" s="205"/>
      <c r="CS76" s="205"/>
      <c r="CT76" s="205"/>
      <c r="CU76" s="205"/>
      <c r="CV76" s="205"/>
      <c r="CW76" s="205"/>
      <c r="CX76" s="205"/>
      <c r="CY76" s="205"/>
      <c r="CZ76" s="205"/>
      <c r="DA76" s="205"/>
      <c r="DB76" s="205"/>
      <c r="DC76" s="205"/>
      <c r="DD76" s="205"/>
      <c r="DE76" s="205"/>
      <c r="DF76" s="205"/>
      <c r="DG76" s="205"/>
      <c r="DH76" s="205"/>
      <c r="DI76" s="205"/>
      <c r="DJ76" s="205"/>
      <c r="DK76" s="11"/>
      <c r="DL76" s="11"/>
      <c r="DM76" s="11"/>
      <c r="DN76" s="11"/>
      <c r="DO76" s="11"/>
    </row>
    <row r="77" customFormat="false" ht="301.5" hidden="false" customHeight="true" outlineLevel="0" collapsed="false">
      <c r="A77" s="319" t="s">
        <v>178</v>
      </c>
      <c r="B77" s="93" t="s">
        <v>265</v>
      </c>
      <c r="C77" s="94" t="s">
        <v>77</v>
      </c>
      <c r="D77" s="95" t="n">
        <f aca="false">0.5*(L77+M77+N77)+O77+Q77+2*(R77+S77)</f>
        <v>2</v>
      </c>
      <c r="E77" s="95" t="n">
        <f aca="false">L77*0.5+M77*0.5+N77*0.5+O77+P77+Q77+2*(R77+S77+T77)</f>
        <v>4</v>
      </c>
      <c r="F77" s="162"/>
      <c r="G77" s="7" t="s">
        <v>51</v>
      </c>
      <c r="H77" s="259"/>
      <c r="I77" s="7"/>
      <c r="J77" s="54"/>
      <c r="K77" s="98" t="s">
        <v>262</v>
      </c>
      <c r="L77" s="196"/>
      <c r="M77" s="196"/>
      <c r="N77" s="196"/>
      <c r="O77" s="196"/>
      <c r="P77" s="196"/>
      <c r="Q77" s="196"/>
      <c r="R77" s="100" t="n">
        <v>1</v>
      </c>
      <c r="S77" s="196"/>
      <c r="T77" s="181" t="n">
        <v>1</v>
      </c>
      <c r="U77" s="108" t="n">
        <v>1</v>
      </c>
      <c r="V77" s="138"/>
      <c r="W77" s="205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205"/>
      <c r="AU77" s="231" t="s">
        <v>107</v>
      </c>
      <c r="AV77" s="393" t="s">
        <v>266</v>
      </c>
      <c r="AW77" s="118" t="s">
        <v>30</v>
      </c>
      <c r="AX77" s="95" t="n">
        <f aca="false">0.5*(BF77+BG77+BH77)+BI77+BK77+2*(BL77+BM77)</f>
        <v>0</v>
      </c>
      <c r="AY77" s="95" t="n">
        <f aca="false">BF77*0.5+BG77*0.5+BH77*0.5+BI77+BJ77+BK77+2*(BL77+BM77+BN77)</f>
        <v>0</v>
      </c>
      <c r="AZ77" s="206"/>
      <c r="BA77" s="149" t="s">
        <v>42</v>
      </c>
      <c r="BB77" s="103"/>
      <c r="BC77" s="103"/>
      <c r="BD77" s="103"/>
      <c r="BE77" s="119" t="s">
        <v>225</v>
      </c>
      <c r="BF77" s="103"/>
      <c r="BG77" s="103"/>
      <c r="BH77" s="103"/>
      <c r="BI77" s="103"/>
      <c r="BJ77" s="103"/>
      <c r="BK77" s="103"/>
      <c r="BL77" s="103"/>
      <c r="BM77" s="103"/>
      <c r="BN77" s="103"/>
      <c r="BO77" s="102" t="n">
        <v>1</v>
      </c>
      <c r="BP77" s="103"/>
      <c r="BQ77" s="205"/>
      <c r="BR77" s="352" t="s">
        <v>223</v>
      </c>
      <c r="BS77" s="394" t="s">
        <v>267</v>
      </c>
      <c r="BT77" s="94" t="s">
        <v>77</v>
      </c>
      <c r="BU77" s="118" t="n">
        <f aca="false">0.5*(CC77+CD77+CE77)+CF77+CH77+2*(CI77+CJ77)</f>
        <v>2</v>
      </c>
      <c r="BV77" s="118" t="n">
        <f aca="false">CC77*0.5+CD77*0.5+CE77*0.5+CF77+CG77+CH77+2*(CI77+CJ77+CK77)</f>
        <v>2</v>
      </c>
      <c r="BW77" s="395"/>
      <c r="BX77" s="7" t="s">
        <v>42</v>
      </c>
      <c r="BY77" s="396"/>
      <c r="BZ77" s="103"/>
      <c r="CA77" s="185" t="s">
        <v>14</v>
      </c>
      <c r="CB77" s="98" t="s">
        <v>157</v>
      </c>
      <c r="CC77" s="99"/>
      <c r="CD77" s="99"/>
      <c r="CE77" s="99"/>
      <c r="CF77" s="100" t="n">
        <v>2</v>
      </c>
      <c r="CG77" s="99"/>
      <c r="CH77" s="99"/>
      <c r="CI77" s="99"/>
      <c r="CJ77" s="99"/>
      <c r="CK77" s="99"/>
      <c r="CL77" s="397" t="n">
        <v>1</v>
      </c>
      <c r="CM77" s="201"/>
      <c r="CN77" s="2"/>
      <c r="CO77" s="205"/>
      <c r="CP77" s="205"/>
      <c r="CQ77" s="205"/>
      <c r="CR77" s="205"/>
      <c r="CS77" s="205"/>
      <c r="CT77" s="205"/>
      <c r="CU77" s="205"/>
      <c r="CV77" s="205"/>
      <c r="CW77" s="205"/>
      <c r="CX77" s="205"/>
      <c r="CY77" s="205"/>
      <c r="CZ77" s="205"/>
      <c r="DA77" s="205"/>
      <c r="DB77" s="205"/>
      <c r="DC77" s="205"/>
      <c r="DD77" s="205"/>
      <c r="DE77" s="205"/>
      <c r="DF77" s="205"/>
      <c r="DG77" s="205"/>
      <c r="DH77" s="205"/>
      <c r="DI77" s="205"/>
      <c r="DJ77" s="205"/>
      <c r="DK77" s="11"/>
      <c r="DL77" s="11"/>
      <c r="DM77" s="11"/>
      <c r="DN77" s="11"/>
      <c r="DO77" s="11"/>
    </row>
    <row r="78" customFormat="false" ht="291.75" hidden="false" customHeight="true" outlineLevel="0" collapsed="false">
      <c r="A78" s="319" t="s">
        <v>178</v>
      </c>
      <c r="B78" s="93" t="s">
        <v>268</v>
      </c>
      <c r="C78" s="118" t="s">
        <v>77</v>
      </c>
      <c r="D78" s="95" t="n">
        <f aca="false">0.5*(L78+M78+N78)+O78+Q78+2*(R78+S78)</f>
        <v>0</v>
      </c>
      <c r="E78" s="95" t="n">
        <f aca="false">L78*0.5+M78*0.5+N78*0.5+O78+P78+Q78+2*(R78+S78+T78)</f>
        <v>1</v>
      </c>
      <c r="F78" s="162"/>
      <c r="G78" s="7" t="s">
        <v>42</v>
      </c>
      <c r="H78" s="398"/>
      <c r="I78" s="97"/>
      <c r="J78" s="50"/>
      <c r="K78" s="98" t="s">
        <v>262</v>
      </c>
      <c r="L78" s="196"/>
      <c r="M78" s="196"/>
      <c r="N78" s="196"/>
      <c r="O78" s="196"/>
      <c r="P78" s="181" t="n">
        <v>1</v>
      </c>
      <c r="Q78" s="196"/>
      <c r="R78" s="196"/>
      <c r="S78" s="196"/>
      <c r="T78" s="399"/>
      <c r="U78" s="108" t="n">
        <v>1</v>
      </c>
      <c r="V78" s="109"/>
      <c r="W78" s="205"/>
      <c r="AT78" s="205"/>
      <c r="AU78" s="231" t="s">
        <v>107</v>
      </c>
      <c r="AV78" s="342" t="s">
        <v>269</v>
      </c>
      <c r="AW78" s="118" t="s">
        <v>30</v>
      </c>
      <c r="AX78" s="95" t="n">
        <f aca="false">0.5*(BF78+BG78+BH78)+BI78+BK78+2*(BL78+BM78)</f>
        <v>0</v>
      </c>
      <c r="AY78" s="95" t="n">
        <f aca="false">BF78*0.5+BG78*0.5+BH78*0.5+BI78+BJ78+BK78+2*(BL78+BM78+BN78)</f>
        <v>0</v>
      </c>
      <c r="AZ78" s="2" t="e">
        <f aca="false">#VALUE!</f>
        <v>#VALUE!</v>
      </c>
      <c r="BA78" s="7" t="s">
        <v>70</v>
      </c>
      <c r="BB78" s="400"/>
      <c r="BC78" s="176" t="s">
        <v>48</v>
      </c>
      <c r="BD78" s="153"/>
      <c r="BE78" s="153" t="s">
        <v>270</v>
      </c>
      <c r="BF78" s="99"/>
      <c r="BG78" s="99"/>
      <c r="BH78" s="99"/>
      <c r="BI78" s="99"/>
      <c r="BJ78" s="99"/>
      <c r="BK78" s="99"/>
      <c r="BL78" s="99"/>
      <c r="BM78" s="99"/>
      <c r="BN78" s="99"/>
      <c r="BO78" s="108" t="n">
        <v>2</v>
      </c>
      <c r="BP78" s="151" t="s">
        <v>61</v>
      </c>
      <c r="BQ78" s="205"/>
      <c r="BR78" s="352" t="s">
        <v>223</v>
      </c>
      <c r="BS78" s="93" t="s">
        <v>271</v>
      </c>
      <c r="BT78" s="118" t="s">
        <v>77</v>
      </c>
      <c r="BU78" s="95" t="n">
        <f aca="false">0.5*(CC78+CD78+CE78)+CF78+CH78+2*(CI78+CJ78)</f>
        <v>0.5</v>
      </c>
      <c r="BV78" s="95" t="n">
        <f aca="false">CC78*0.5+CD78*0.5+CE78*0.5+CF78+CG78+CH78+2*(CI78+CJ78+CK78)</f>
        <v>0.5</v>
      </c>
      <c r="BW78" s="152"/>
      <c r="BX78" s="7" t="s">
        <v>51</v>
      </c>
      <c r="BY78" s="7"/>
      <c r="BZ78" s="7"/>
      <c r="CA78" s="50"/>
      <c r="CB78" s="50" t="s">
        <v>234</v>
      </c>
      <c r="CD78" s="358" t="n">
        <v>1</v>
      </c>
      <c r="CF78" s="371"/>
      <c r="CL78" s="108" t="n">
        <v>1</v>
      </c>
      <c r="CM78" s="154"/>
      <c r="CO78" s="205"/>
      <c r="CP78" s="205"/>
      <c r="CQ78" s="205"/>
      <c r="CR78" s="205"/>
      <c r="CS78" s="205"/>
      <c r="CT78" s="205"/>
      <c r="CU78" s="205"/>
      <c r="CV78" s="205"/>
      <c r="CW78" s="205"/>
      <c r="CX78" s="205"/>
      <c r="CY78" s="205"/>
      <c r="CZ78" s="205"/>
      <c r="DA78" s="205"/>
      <c r="DB78" s="205"/>
      <c r="DC78" s="205"/>
      <c r="DD78" s="205"/>
      <c r="DE78" s="205"/>
      <c r="DF78" s="205"/>
      <c r="DG78" s="205"/>
      <c r="DH78" s="205"/>
      <c r="DI78" s="205"/>
      <c r="DJ78" s="205"/>
      <c r="DK78" s="126"/>
    </row>
    <row r="79" customFormat="false" ht="291" hidden="false" customHeight="true" outlineLevel="0" collapsed="false">
      <c r="A79" s="319" t="s">
        <v>178</v>
      </c>
      <c r="B79" s="93" t="s">
        <v>272</v>
      </c>
      <c r="C79" s="118" t="s">
        <v>77</v>
      </c>
      <c r="D79" s="95" t="n">
        <f aca="false">0.5*(L79+M79+N79)+O79+Q79+2*(R79+S79)</f>
        <v>2</v>
      </c>
      <c r="E79" s="95" t="n">
        <f aca="false">L79*0.5+M79*0.5+N79*0.5+O79+P79+Q79+2*(R79+S79+T79)</f>
        <v>2</v>
      </c>
      <c r="F79" s="162"/>
      <c r="G79" s="7" t="s">
        <v>70</v>
      </c>
      <c r="H79" s="398"/>
      <c r="I79" s="97"/>
      <c r="J79" s="50"/>
      <c r="K79" s="98" t="s">
        <v>273</v>
      </c>
      <c r="L79" s="196"/>
      <c r="M79" s="196"/>
      <c r="N79" s="196"/>
      <c r="O79" s="133"/>
      <c r="P79" s="196"/>
      <c r="Q79" s="401"/>
      <c r="R79" s="100" t="n">
        <v>1</v>
      </c>
      <c r="S79" s="295"/>
      <c r="T79" s="196"/>
      <c r="U79" s="296" t="n">
        <v>1</v>
      </c>
      <c r="V79" s="109"/>
      <c r="W79" s="205"/>
      <c r="AT79" s="205"/>
      <c r="AU79" s="231" t="s">
        <v>107</v>
      </c>
      <c r="AV79" s="402" t="s">
        <v>274</v>
      </c>
      <c r="AW79" s="118" t="s">
        <v>30</v>
      </c>
      <c r="AX79" s="95" t="n">
        <f aca="false">0.5*(BF79+BG79+BH79)+BI79+BK79+2*(BL79+BM79)</f>
        <v>0</v>
      </c>
      <c r="AY79" s="95" t="n">
        <f aca="false">BF79*0.5+BG79*0.5+BH79*0.5+BI79+BJ79+BK79+2*(BL79+BM79+BN79)</f>
        <v>0</v>
      </c>
      <c r="AZ79" s="403"/>
      <c r="BA79" s="7" t="s">
        <v>70</v>
      </c>
      <c r="BC79" s="7"/>
      <c r="BD79" s="50"/>
      <c r="BE79" s="7" t="s">
        <v>275</v>
      </c>
      <c r="BF79" s="99"/>
      <c r="BG79" s="99"/>
      <c r="BH79" s="99"/>
      <c r="BI79" s="99"/>
      <c r="BJ79" s="99"/>
      <c r="BK79" s="99"/>
      <c r="BL79" s="99"/>
      <c r="BM79" s="99"/>
      <c r="BN79" s="99"/>
      <c r="BO79" s="108" t="n">
        <v>1</v>
      </c>
      <c r="BP79" s="151" t="s">
        <v>61</v>
      </c>
      <c r="BQ79" s="205"/>
      <c r="BR79" s="352" t="s">
        <v>223</v>
      </c>
      <c r="BS79" s="93" t="s">
        <v>276</v>
      </c>
      <c r="BT79" s="118" t="s">
        <v>77</v>
      </c>
      <c r="BU79" s="95" t="n">
        <f aca="false">0.5*(CC79+CD79+CE79)+CF79+CH79+2*(CI79+CJ79)</f>
        <v>1</v>
      </c>
      <c r="BV79" s="95" t="n">
        <f aca="false">CC79*0.5+CD79*0.5+CE79*0.5+CF79+CG79+CH79+2*(CI79+CJ79+CK79)</f>
        <v>1</v>
      </c>
      <c r="BW79" s="164"/>
      <c r="BX79" s="7" t="s">
        <v>51</v>
      </c>
      <c r="BY79" s="7"/>
      <c r="BZ79" s="7"/>
      <c r="CA79" s="50"/>
      <c r="CB79" s="7"/>
      <c r="CC79" s="404"/>
      <c r="CH79" s="358" t="n">
        <v>1</v>
      </c>
      <c r="CL79" s="108" t="n">
        <v>1</v>
      </c>
      <c r="CM79" s="154"/>
      <c r="CO79" s="205"/>
      <c r="CP79" s="205"/>
      <c r="CQ79" s="205"/>
      <c r="CR79" s="205"/>
      <c r="CS79" s="205"/>
      <c r="CT79" s="205"/>
      <c r="CU79" s="205"/>
      <c r="CV79" s="205"/>
      <c r="CW79" s="205"/>
      <c r="CX79" s="205"/>
      <c r="CY79" s="205"/>
      <c r="CZ79" s="205"/>
      <c r="DA79" s="205"/>
      <c r="DB79" s="205"/>
      <c r="DC79" s="205"/>
      <c r="DD79" s="205"/>
      <c r="DE79" s="205"/>
      <c r="DF79" s="205"/>
      <c r="DG79" s="205"/>
      <c r="DH79" s="205"/>
      <c r="DI79" s="205"/>
      <c r="DJ79" s="205"/>
      <c r="DK79" s="126"/>
    </row>
    <row r="80" customFormat="false" ht="301.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205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205"/>
      <c r="AU80" s="231" t="s">
        <v>107</v>
      </c>
      <c r="AV80" s="402" t="s">
        <v>277</v>
      </c>
      <c r="AW80" s="118" t="s">
        <v>30</v>
      </c>
      <c r="AX80" s="95" t="n">
        <f aca="false">0.5*(BF80+BG80+BH80)+BI80+BK80+2*(BL80+BM80)</f>
        <v>0</v>
      </c>
      <c r="AY80" s="95" t="n">
        <f aca="false">BF80*0.5+BG80*0.5+BH80*0.5+BI80+BJ80+BK80+2*(BL80+BM80+BN80)</f>
        <v>0</v>
      </c>
      <c r="AZ80" s="152"/>
      <c r="BA80" s="7" t="s">
        <v>70</v>
      </c>
      <c r="BB80" s="106"/>
      <c r="BC80" s="107" t="s">
        <v>48</v>
      </c>
      <c r="BD80" s="168"/>
      <c r="BE80" s="50" t="s">
        <v>278</v>
      </c>
      <c r="BF80" s="196"/>
      <c r="BG80" s="196"/>
      <c r="BH80" s="196"/>
      <c r="BI80" s="196"/>
      <c r="BJ80" s="196"/>
      <c r="BK80" s="196"/>
      <c r="BL80" s="196"/>
      <c r="BM80" s="196"/>
      <c r="BN80" s="196"/>
      <c r="BO80" s="108" t="n">
        <v>1</v>
      </c>
      <c r="BP80" s="151" t="s">
        <v>61</v>
      </c>
      <c r="BQ80" s="205"/>
      <c r="BR80" s="352" t="s">
        <v>223</v>
      </c>
      <c r="BS80" s="93" t="s">
        <v>279</v>
      </c>
      <c r="BT80" s="118" t="s">
        <v>77</v>
      </c>
      <c r="BU80" s="95" t="n">
        <f aca="false">0.5*(CC80+CD80+CE80)+CF80+CH80+2*(CI80+CJ80)</f>
        <v>1</v>
      </c>
      <c r="BV80" s="95" t="n">
        <f aca="false">CC80*0.5+CD80*0.5+CE80*0.5+CF80+CG80+CH80+2*(CI80+CJ80+CK80)</f>
        <v>1</v>
      </c>
      <c r="BW80" s="164"/>
      <c r="BX80" s="7" t="s">
        <v>51</v>
      </c>
      <c r="BY80" s="7"/>
      <c r="BZ80" s="7"/>
      <c r="CA80" s="50"/>
      <c r="CB80" s="7"/>
      <c r="CC80" s="358" t="n">
        <v>1</v>
      </c>
      <c r="CE80" s="358" t="n">
        <v>1</v>
      </c>
      <c r="CL80" s="108" t="n">
        <v>1</v>
      </c>
      <c r="CM80" s="138"/>
      <c r="CN80" s="2"/>
      <c r="CO80" s="2"/>
      <c r="CP80" s="205"/>
      <c r="CQ80" s="205"/>
      <c r="CR80" s="205"/>
      <c r="CS80" s="205"/>
      <c r="CT80" s="205"/>
      <c r="CU80" s="205"/>
      <c r="CV80" s="205"/>
      <c r="CW80" s="205"/>
      <c r="CX80" s="205"/>
      <c r="CY80" s="205"/>
      <c r="CZ80" s="205"/>
      <c r="DA80" s="205"/>
      <c r="DB80" s="205"/>
      <c r="DC80" s="205"/>
      <c r="DD80" s="205"/>
      <c r="DE80" s="205"/>
      <c r="DF80" s="205"/>
      <c r="DG80" s="205"/>
      <c r="DH80" s="205"/>
      <c r="DI80" s="205"/>
      <c r="DJ80" s="205"/>
      <c r="DK80" s="126"/>
      <c r="DL80" s="11"/>
      <c r="DM80" s="11"/>
      <c r="DN80" s="11"/>
      <c r="DO80" s="11"/>
    </row>
    <row r="81" customFormat="false" ht="235.5" hidden="false" customHeight="true" outlineLevel="0" collapsed="false">
      <c r="W81" s="205"/>
      <c r="AT81" s="205"/>
      <c r="AU81" s="337" t="s">
        <v>280</v>
      </c>
      <c r="AV81" s="339" t="s">
        <v>281</v>
      </c>
      <c r="AW81" s="94" t="s">
        <v>30</v>
      </c>
      <c r="AX81" s="95" t="n">
        <f aca="false">0.5*(BF81+BG81+BH81)+BI81+BK81+2*(BL81+BM81)</f>
        <v>0</v>
      </c>
      <c r="AY81" s="95" t="n">
        <f aca="false">BF81*0.5+BG81*0.5+BH81*0.5+BI81+BJ81+BK81+2*(BL81+BM81+BN81)</f>
        <v>0</v>
      </c>
      <c r="AZ81" s="206"/>
      <c r="BA81" s="340" t="s">
        <v>173</v>
      </c>
      <c r="BB81" s="103"/>
      <c r="BC81" s="103"/>
      <c r="BD81" s="103"/>
      <c r="BE81" s="316" t="s">
        <v>174</v>
      </c>
      <c r="BF81" s="103"/>
      <c r="BG81" s="103"/>
      <c r="BH81" s="103"/>
      <c r="BI81" s="103"/>
      <c r="BJ81" s="103"/>
      <c r="BK81" s="103"/>
      <c r="BL81" s="103"/>
      <c r="BM81" s="103"/>
      <c r="BN81" s="103"/>
      <c r="BO81" s="145" t="n">
        <v>1</v>
      </c>
      <c r="BP81" s="151" t="s">
        <v>61</v>
      </c>
      <c r="BQ81" s="205"/>
      <c r="BR81" s="352" t="s">
        <v>223</v>
      </c>
      <c r="BS81" s="147" t="s">
        <v>282</v>
      </c>
      <c r="BT81" s="118" t="s">
        <v>77</v>
      </c>
      <c r="BU81" s="95" t="n">
        <f aca="false">0.5*(CC81+CD81+CE81)+CF81+CH81+2*(CI81+CJ81)</f>
        <v>1</v>
      </c>
      <c r="BV81" s="95" t="n">
        <f aca="false">CC81*0.5+CD81*0.5+CE81*0.5+CF81+CG81+CH81+2*(CI81+CJ81+CK81)</f>
        <v>1</v>
      </c>
      <c r="BW81" s="164"/>
      <c r="BX81" s="7" t="s">
        <v>51</v>
      </c>
      <c r="BY81" s="7"/>
      <c r="BZ81" s="7"/>
      <c r="CA81" s="50"/>
      <c r="CB81" s="50" t="s">
        <v>234</v>
      </c>
      <c r="CF81" s="358" t="n">
        <v>1</v>
      </c>
      <c r="CL81" s="108" t="n">
        <v>1</v>
      </c>
      <c r="CM81" s="154"/>
      <c r="CO81" s="205"/>
      <c r="CP81" s="205"/>
      <c r="CQ81" s="205"/>
      <c r="CR81" s="205"/>
      <c r="CS81" s="205"/>
      <c r="CT81" s="205"/>
      <c r="CU81" s="205"/>
      <c r="CV81" s="205"/>
      <c r="CW81" s="205"/>
      <c r="CX81" s="205"/>
      <c r="CY81" s="205"/>
      <c r="CZ81" s="205"/>
      <c r="DA81" s="205"/>
      <c r="DB81" s="205"/>
      <c r="DC81" s="205"/>
      <c r="DD81" s="205"/>
      <c r="DE81" s="205"/>
      <c r="DF81" s="205"/>
      <c r="DG81" s="205"/>
      <c r="DH81" s="205"/>
      <c r="DI81" s="205"/>
      <c r="DJ81" s="205"/>
      <c r="DK81" s="126"/>
    </row>
    <row r="82" customFormat="false" ht="235.5" hidden="false" customHeight="true" outlineLevel="0" collapsed="false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AT82" s="205"/>
      <c r="AU82" s="337" t="s">
        <v>190</v>
      </c>
      <c r="AV82" s="405" t="s">
        <v>283</v>
      </c>
      <c r="AW82" s="118" t="s">
        <v>30</v>
      </c>
      <c r="AX82" s="95" t="n">
        <f aca="false">0.5*(BF82+BG82+BH82)+BI82+BK82+2*(BL82+BM82)</f>
        <v>0</v>
      </c>
      <c r="AY82" s="95" t="n">
        <f aca="false">BF82*0.5+BG82*0.5+BH82*0.5+BI82+BJ82+BK82+2*(BL82+BM82+BN82)</f>
        <v>0</v>
      </c>
      <c r="AZ82" s="406"/>
      <c r="BA82" s="7" t="s">
        <v>42</v>
      </c>
      <c r="BB82" s="407"/>
      <c r="BC82" s="103"/>
      <c r="BD82" s="50"/>
      <c r="BE82" s="50" t="s">
        <v>88</v>
      </c>
      <c r="BO82" s="108" t="n">
        <v>1</v>
      </c>
      <c r="BP82" s="151" t="s">
        <v>61</v>
      </c>
      <c r="BQ82" s="205"/>
      <c r="BR82" s="352" t="s">
        <v>223</v>
      </c>
      <c r="BS82" s="93" t="s">
        <v>284</v>
      </c>
      <c r="BT82" s="118" t="s">
        <v>77</v>
      </c>
      <c r="BU82" s="95" t="n">
        <f aca="false">0.5*(CC82+CD82+CE82)+CF82+CH82+2*(CI82+CJ82)</f>
        <v>1</v>
      </c>
      <c r="BV82" s="95" t="n">
        <f aca="false">CC82*0.5+CD82*0.5+CE82*0.5+CF82+CG82+CH82+2*(CI82+CJ82+CK82)</f>
        <v>1</v>
      </c>
      <c r="BW82" s="297"/>
      <c r="BX82" s="106" t="s">
        <v>51</v>
      </c>
      <c r="BY82" s="106"/>
      <c r="BZ82" s="106"/>
      <c r="CA82" s="168"/>
      <c r="CB82" s="50" t="s">
        <v>234</v>
      </c>
      <c r="CC82" s="106"/>
      <c r="CD82" s="106"/>
      <c r="CE82" s="404"/>
      <c r="CF82" s="358" t="n">
        <v>1</v>
      </c>
      <c r="CG82" s="106"/>
      <c r="CH82" s="106"/>
      <c r="CI82" s="106"/>
      <c r="CJ82" s="106"/>
      <c r="CK82" s="106"/>
      <c r="CL82" s="108" t="n">
        <v>1</v>
      </c>
      <c r="CM82" s="154"/>
      <c r="CO82" s="205"/>
      <c r="CP82" s="205"/>
      <c r="CQ82" s="205"/>
      <c r="CR82" s="205"/>
      <c r="CS82" s="205"/>
      <c r="CT82" s="205"/>
      <c r="CU82" s="205"/>
      <c r="CV82" s="205"/>
      <c r="CW82" s="205"/>
      <c r="CX82" s="205"/>
      <c r="CY82" s="205"/>
      <c r="CZ82" s="205"/>
      <c r="DA82" s="205"/>
      <c r="DB82" s="205"/>
      <c r="DC82" s="205"/>
      <c r="DD82" s="205"/>
      <c r="DE82" s="205"/>
      <c r="DF82" s="205"/>
      <c r="DG82" s="205"/>
      <c r="DH82" s="205"/>
      <c r="DI82" s="205"/>
      <c r="DJ82" s="205"/>
      <c r="DK82" s="126"/>
    </row>
    <row r="83" customFormat="false" ht="243.75" hidden="false" customHeight="true" outlineLevel="0" collapsed="false">
      <c r="W83" s="205"/>
      <c r="AT83" s="205"/>
      <c r="AU83" s="337" t="s">
        <v>190</v>
      </c>
      <c r="AV83" s="279" t="s">
        <v>285</v>
      </c>
      <c r="AW83" s="118" t="s">
        <v>30</v>
      </c>
      <c r="AX83" s="95" t="n">
        <f aca="false">0.5*(BF83+BG83+BH83)+BI83+BK83+2*(BL83+BM83)</f>
        <v>0</v>
      </c>
      <c r="AY83" s="95" t="n">
        <f aca="false">BF83*0.5+BG83*0.5+BH83*0.5+BI83+BJ83+BK83+2*(BL83+BM83+BN83)</f>
        <v>0</v>
      </c>
      <c r="AZ83" s="406"/>
      <c r="BA83" s="7" t="s">
        <v>42</v>
      </c>
      <c r="BB83" s="205"/>
      <c r="BC83" s="7"/>
      <c r="BD83" s="185" t="s">
        <v>14</v>
      </c>
      <c r="BE83" s="50" t="s">
        <v>88</v>
      </c>
      <c r="BO83" s="108" t="n">
        <v>1</v>
      </c>
      <c r="BP83" s="151" t="s">
        <v>61</v>
      </c>
      <c r="BQ83" s="205"/>
      <c r="BR83" s="352" t="s">
        <v>223</v>
      </c>
      <c r="BS83" s="93" t="s">
        <v>286</v>
      </c>
      <c r="BT83" s="118" t="s">
        <v>287</v>
      </c>
      <c r="BU83" s="95" t="n">
        <f aca="false">0.5*(CC83+CD83+CE83)+CF83+CH83+2*(CI83+CJ83)</f>
        <v>3</v>
      </c>
      <c r="BV83" s="95" t="n">
        <f aca="false">CC83*0.5+CD83*0.5+CE83*0.5+CF83+CG83+CH83+2*(CI83+CJ83+CK83)</f>
        <v>5</v>
      </c>
      <c r="BW83" s="297"/>
      <c r="BX83" s="7" t="s">
        <v>51</v>
      </c>
      <c r="BY83" s="408" t="s">
        <v>288</v>
      </c>
      <c r="BZ83" s="106"/>
      <c r="CA83" s="168"/>
      <c r="CB83" s="50" t="s">
        <v>289</v>
      </c>
      <c r="CC83" s="301"/>
      <c r="CD83" s="106"/>
      <c r="CE83" s="404"/>
      <c r="CF83" s="358" t="n">
        <v>1</v>
      </c>
      <c r="CG83" s="106"/>
      <c r="CH83" s="106"/>
      <c r="CI83" s="358" t="n">
        <v>1</v>
      </c>
      <c r="CJ83" s="409"/>
      <c r="CK83" s="101" t="n">
        <v>1</v>
      </c>
      <c r="CL83" s="296" t="n">
        <v>1</v>
      </c>
      <c r="CM83" s="154"/>
      <c r="CO83" s="205"/>
      <c r="CP83" s="205"/>
      <c r="CQ83" s="205"/>
      <c r="CR83" s="205"/>
      <c r="CS83" s="205"/>
      <c r="CT83" s="205"/>
      <c r="CU83" s="205"/>
      <c r="CV83" s="205"/>
      <c r="CW83" s="205"/>
      <c r="CX83" s="205"/>
      <c r="CY83" s="205"/>
      <c r="CZ83" s="205"/>
      <c r="DA83" s="205"/>
      <c r="DB83" s="205"/>
      <c r="DC83" s="205"/>
      <c r="DD83" s="205"/>
      <c r="DE83" s="205"/>
      <c r="DF83" s="205"/>
      <c r="DG83" s="205"/>
      <c r="DH83" s="205"/>
      <c r="DI83" s="205"/>
      <c r="DJ83" s="205"/>
      <c r="DK83" s="126"/>
    </row>
    <row r="84" customFormat="false" ht="186.75" hidden="false" customHeight="true" outlineLevel="0" collapsed="false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W84" s="205"/>
      <c r="AT84" s="205"/>
      <c r="AU84" s="337" t="s">
        <v>190</v>
      </c>
      <c r="AV84" s="279" t="s">
        <v>290</v>
      </c>
      <c r="AW84" s="118" t="s">
        <v>30</v>
      </c>
      <c r="AX84" s="95" t="n">
        <f aca="false">0.5*(BF84+BG84+BH84)+BI84+BK84+2*(BL84+BM84)</f>
        <v>0</v>
      </c>
      <c r="AY84" s="95" t="n">
        <f aca="false">BF84*0.5+BG84*0.5+BH84*0.5+BI84+BJ84+BK84+2*(BL84+BM84+BN84)</f>
        <v>0</v>
      </c>
      <c r="AZ84" s="406"/>
      <c r="BA84" s="7" t="s">
        <v>42</v>
      </c>
      <c r="BB84" s="93"/>
      <c r="BC84" s="103"/>
      <c r="BD84" s="50"/>
      <c r="BE84" s="50" t="s">
        <v>88</v>
      </c>
      <c r="BO84" s="108" t="n">
        <v>1</v>
      </c>
      <c r="BP84" s="151" t="s">
        <v>61</v>
      </c>
      <c r="BQ84" s="205"/>
      <c r="BR84" s="410" t="s">
        <v>223</v>
      </c>
      <c r="BS84" s="411" t="s">
        <v>291</v>
      </c>
      <c r="BT84" s="94" t="s">
        <v>287</v>
      </c>
      <c r="BU84" s="95" t="n">
        <f aca="false">0.5*(CC84+CD84+CE84)+CF84+CH84+2*(CI84+CJ84)</f>
        <v>0</v>
      </c>
      <c r="BV84" s="95" t="n">
        <f aca="false">CC84*0.5+CD84*0.5+CE84*0.5+CF84+CG84+CH84+2*(CI84+CJ84+CK84)</f>
        <v>0</v>
      </c>
      <c r="BW84" s="206"/>
      <c r="BX84" s="340" t="s">
        <v>200</v>
      </c>
      <c r="BY84" s="103"/>
      <c r="BZ84" s="103"/>
      <c r="CA84" s="103"/>
      <c r="CB84" s="316" t="s">
        <v>174</v>
      </c>
      <c r="CC84" s="103"/>
      <c r="CD84" s="103"/>
      <c r="CE84" s="103"/>
      <c r="CF84" s="103"/>
      <c r="CG84" s="103"/>
      <c r="CH84" s="103"/>
      <c r="CI84" s="103"/>
      <c r="CJ84" s="103"/>
      <c r="CK84" s="103"/>
      <c r="CL84" s="145" t="n">
        <v>1</v>
      </c>
      <c r="CM84" s="151" t="s">
        <v>61</v>
      </c>
      <c r="CN84" s="2"/>
      <c r="CO84" s="205"/>
      <c r="CP84" s="205"/>
      <c r="CQ84" s="205"/>
      <c r="CR84" s="205"/>
      <c r="CS84" s="205"/>
      <c r="CT84" s="205"/>
      <c r="CU84" s="205"/>
      <c r="CV84" s="205"/>
      <c r="CW84" s="205"/>
      <c r="CX84" s="205"/>
      <c r="CY84" s="205"/>
      <c r="CZ84" s="205"/>
      <c r="DA84" s="205"/>
      <c r="DB84" s="205"/>
      <c r="DC84" s="205"/>
      <c r="DD84" s="205"/>
      <c r="DE84" s="205"/>
      <c r="DF84" s="205"/>
      <c r="DG84" s="205"/>
      <c r="DH84" s="205"/>
      <c r="DI84" s="205"/>
      <c r="DJ84" s="205"/>
      <c r="DK84" s="126"/>
    </row>
    <row r="85" customFormat="false" ht="234" hidden="false" customHeight="true" outlineLevel="0" collapsed="false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W85" s="205"/>
      <c r="AT85" s="205"/>
      <c r="AU85" s="205"/>
      <c r="AV85" s="239"/>
      <c r="AW85" s="205"/>
      <c r="AX85" s="205"/>
      <c r="AY85" s="205"/>
      <c r="AZ85" s="205"/>
      <c r="BA85" s="241"/>
      <c r="BB85" s="205"/>
      <c r="BC85" s="205"/>
      <c r="BD85" s="205"/>
      <c r="BE85" s="241"/>
      <c r="BF85" s="205"/>
      <c r="BG85" s="205"/>
      <c r="BH85" s="205"/>
      <c r="BI85" s="205"/>
      <c r="BJ85" s="205"/>
      <c r="BK85" s="205"/>
      <c r="BL85" s="205"/>
      <c r="BM85" s="205"/>
      <c r="BN85" s="205"/>
      <c r="BO85" s="205"/>
      <c r="BP85" s="205"/>
      <c r="BQ85" s="205"/>
      <c r="BR85" s="412" t="s">
        <v>226</v>
      </c>
      <c r="BS85" s="411" t="s">
        <v>292</v>
      </c>
      <c r="BT85" s="94" t="s">
        <v>287</v>
      </c>
      <c r="BU85" s="95" t="n">
        <f aca="false">0.5*(CC85+CD85+CE85)+CF85+CH85+2*(CI85+CJ85)</f>
        <v>0</v>
      </c>
      <c r="BV85" s="95" t="n">
        <f aca="false">CC85*0.5+CD85*0.5+CE85*0.5+CF85+CG85+CH85+2*(CI85+CJ85+CK85)</f>
        <v>0</v>
      </c>
      <c r="BW85" s="206"/>
      <c r="BX85" s="340" t="s">
        <v>70</v>
      </c>
      <c r="BY85" s="103"/>
      <c r="BZ85" s="103"/>
      <c r="CA85" s="103"/>
      <c r="CB85" s="316" t="s">
        <v>174</v>
      </c>
      <c r="CC85" s="103"/>
      <c r="CD85" s="103"/>
      <c r="CE85" s="103"/>
      <c r="CF85" s="103"/>
      <c r="CG85" s="103"/>
      <c r="CH85" s="103"/>
      <c r="CI85" s="103"/>
      <c r="CJ85" s="103"/>
      <c r="CK85" s="103"/>
      <c r="CL85" s="145" t="n">
        <v>1</v>
      </c>
      <c r="CM85" s="151" t="s">
        <v>61</v>
      </c>
      <c r="CN85" s="205"/>
      <c r="CO85" s="205"/>
      <c r="CP85" s="205"/>
      <c r="CQ85" s="205"/>
      <c r="CR85" s="205"/>
      <c r="CS85" s="205"/>
      <c r="CT85" s="205"/>
      <c r="CU85" s="205"/>
      <c r="CV85" s="205"/>
      <c r="CW85" s="205"/>
      <c r="CX85" s="205"/>
      <c r="CY85" s="205"/>
      <c r="CZ85" s="205"/>
      <c r="DA85" s="205"/>
      <c r="DB85" s="205"/>
      <c r="DC85" s="205"/>
      <c r="DD85" s="205"/>
      <c r="DE85" s="205"/>
      <c r="DF85" s="205"/>
      <c r="DG85" s="205"/>
      <c r="DH85" s="205"/>
      <c r="DI85" s="205"/>
      <c r="DJ85" s="205"/>
      <c r="DK85" s="126"/>
    </row>
    <row r="86" customFormat="false" ht="187.5" hidden="false" customHeight="true" outlineLevel="0" collapsed="false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W86" s="205"/>
      <c r="AT86" s="205"/>
      <c r="AU86" s="205"/>
      <c r="AV86" s="239"/>
      <c r="AW86" s="205"/>
      <c r="AX86" s="205"/>
      <c r="AY86" s="205"/>
      <c r="AZ86" s="205"/>
      <c r="BA86" s="241"/>
      <c r="BB86" s="205"/>
      <c r="BC86" s="205"/>
      <c r="BD86" s="205"/>
      <c r="BE86" s="241"/>
      <c r="BF86" s="205"/>
      <c r="BG86" s="205"/>
      <c r="BH86" s="205"/>
      <c r="BI86" s="205"/>
      <c r="BJ86" s="205"/>
      <c r="BK86" s="205"/>
      <c r="BL86" s="205"/>
      <c r="BM86" s="205"/>
      <c r="BN86" s="205"/>
      <c r="BO86" s="205"/>
      <c r="BP86" s="205"/>
      <c r="BQ86" s="205"/>
      <c r="BR86" s="412" t="s">
        <v>226</v>
      </c>
      <c r="BS86" s="168" t="s">
        <v>293</v>
      </c>
      <c r="BT86" s="94" t="s">
        <v>287</v>
      </c>
      <c r="BU86" s="95" t="n">
        <f aca="false">0.5*(CC86+CD86+CE86)+CF86+CH86+2*(CI86+CJ86)</f>
        <v>7.5</v>
      </c>
      <c r="BV86" s="95" t="n">
        <f aca="false">CC86*0.5+CD86*0.5+CE86*0.5+CF86+CG86+CH86+2*(CI86+CJ86+CK86)</f>
        <v>13.5</v>
      </c>
      <c r="BW86" s="168" t="e">
        <f aca="false">#VALUE!</f>
        <v>#VALUE!</v>
      </c>
      <c r="BX86" s="7" t="s">
        <v>70</v>
      </c>
      <c r="BY86" s="7"/>
      <c r="BZ86" s="107" t="s">
        <v>48</v>
      </c>
      <c r="CA86" s="50"/>
      <c r="CB86" s="50" t="s">
        <v>294</v>
      </c>
      <c r="CC86" s="100" t="n">
        <v>3</v>
      </c>
      <c r="CD86" s="99"/>
      <c r="CE86" s="133"/>
      <c r="CF86" s="99"/>
      <c r="CG86" s="133"/>
      <c r="CH86" s="100" t="n">
        <v>6</v>
      </c>
      <c r="CI86" s="99"/>
      <c r="CJ86" s="133"/>
      <c r="CK86" s="101" t="n">
        <v>3</v>
      </c>
      <c r="CL86" s="221" t="n">
        <v>1</v>
      </c>
      <c r="CM86" s="413" t="s">
        <v>295</v>
      </c>
      <c r="CN86" s="205"/>
      <c r="CO86" s="205"/>
      <c r="CP86" s="205"/>
      <c r="CQ86" s="205"/>
      <c r="CR86" s="205"/>
      <c r="CS86" s="205"/>
      <c r="CT86" s="205"/>
      <c r="CU86" s="205"/>
      <c r="CV86" s="205"/>
      <c r="CW86" s="205"/>
      <c r="CX86" s="205"/>
      <c r="CY86" s="205"/>
      <c r="CZ86" s="205"/>
      <c r="DA86" s="205"/>
      <c r="DB86" s="205"/>
      <c r="DC86" s="205"/>
      <c r="DD86" s="205"/>
      <c r="DE86" s="205"/>
      <c r="DF86" s="205"/>
      <c r="DG86" s="205"/>
      <c r="DH86" s="205"/>
      <c r="DI86" s="205"/>
      <c r="DJ86" s="205"/>
      <c r="DK86" s="126"/>
    </row>
    <row r="87" customFormat="false" ht="180.75" hidden="false" customHeight="true" outlineLevel="0" collapsed="false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W87" s="205"/>
      <c r="AT87" s="205"/>
      <c r="AU87" s="205"/>
      <c r="AV87" s="239"/>
      <c r="AW87" s="205"/>
      <c r="AX87" s="205"/>
      <c r="AY87" s="205"/>
      <c r="AZ87" s="205"/>
      <c r="BA87" s="241"/>
      <c r="BB87" s="205"/>
      <c r="BC87" s="205"/>
      <c r="BD87" s="205"/>
      <c r="BE87" s="241"/>
      <c r="BF87" s="205"/>
      <c r="BG87" s="205"/>
      <c r="BH87" s="205"/>
      <c r="BI87" s="205"/>
      <c r="BJ87" s="205"/>
      <c r="BK87" s="205"/>
      <c r="BL87" s="205"/>
      <c r="BM87" s="205"/>
      <c r="BN87" s="205"/>
      <c r="BO87" s="205"/>
      <c r="BP87" s="205"/>
      <c r="BQ87" s="205"/>
      <c r="CN87" s="205"/>
      <c r="CO87" s="205"/>
      <c r="CP87" s="205"/>
      <c r="CQ87" s="205"/>
      <c r="CR87" s="205"/>
      <c r="CS87" s="205"/>
      <c r="CT87" s="205"/>
      <c r="CU87" s="205"/>
      <c r="CV87" s="205"/>
      <c r="CW87" s="205"/>
      <c r="CX87" s="205"/>
      <c r="CY87" s="205"/>
      <c r="CZ87" s="205"/>
      <c r="DA87" s="205"/>
      <c r="DB87" s="205"/>
      <c r="DC87" s="205"/>
      <c r="DD87" s="205"/>
      <c r="DE87" s="205"/>
      <c r="DF87" s="205"/>
      <c r="DG87" s="205"/>
      <c r="DH87" s="205"/>
      <c r="DI87" s="205"/>
      <c r="DJ87" s="205"/>
      <c r="DK87" s="126"/>
    </row>
    <row r="88" customFormat="false" ht="102.75" hidden="false" customHeight="true" outlineLevel="0" collapsed="false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W88" s="205"/>
      <c r="AT88" s="205"/>
      <c r="AU88" s="205"/>
      <c r="AV88" s="239"/>
      <c r="AW88" s="205"/>
      <c r="AX88" s="205"/>
      <c r="AY88" s="205"/>
      <c r="AZ88" s="205"/>
      <c r="BA88" s="241"/>
      <c r="BB88" s="205"/>
      <c r="BC88" s="205"/>
      <c r="BD88" s="205"/>
      <c r="BE88" s="241"/>
      <c r="BF88" s="205"/>
      <c r="BG88" s="205"/>
      <c r="BH88" s="205"/>
      <c r="BI88" s="205"/>
      <c r="BJ88" s="205"/>
      <c r="BK88" s="205"/>
      <c r="BL88" s="205"/>
      <c r="BM88" s="205"/>
      <c r="BN88" s="205"/>
      <c r="BO88" s="205"/>
      <c r="BP88" s="205"/>
      <c r="BQ88" s="205"/>
      <c r="BR88" s="205"/>
      <c r="BS88" s="205"/>
      <c r="BT88" s="205"/>
      <c r="BU88" s="205"/>
      <c r="BV88" s="205"/>
      <c r="BW88" s="205"/>
      <c r="BX88" s="241"/>
      <c r="BY88" s="205"/>
      <c r="BZ88" s="205"/>
      <c r="CA88" s="205"/>
      <c r="CB88" s="241"/>
      <c r="CC88" s="205"/>
      <c r="CD88" s="205"/>
      <c r="CE88" s="205"/>
      <c r="CF88" s="205"/>
      <c r="CG88" s="205"/>
      <c r="CH88" s="205"/>
      <c r="CI88" s="205"/>
      <c r="CJ88" s="205"/>
      <c r="CK88" s="205"/>
      <c r="CL88" s="205"/>
      <c r="CM88" s="205"/>
      <c r="CN88" s="205"/>
      <c r="CO88" s="205"/>
      <c r="CP88" s="205"/>
      <c r="CQ88" s="205"/>
      <c r="CR88" s="205"/>
      <c r="CS88" s="205"/>
      <c r="CT88" s="205"/>
      <c r="CU88" s="205"/>
      <c r="CV88" s="205"/>
      <c r="CW88" s="205"/>
      <c r="CX88" s="205"/>
      <c r="CY88" s="205"/>
      <c r="CZ88" s="205"/>
      <c r="DA88" s="205"/>
      <c r="DB88" s="205"/>
      <c r="DC88" s="205"/>
      <c r="DD88" s="205"/>
      <c r="DE88" s="205"/>
      <c r="DF88" s="205"/>
      <c r="DG88" s="205"/>
      <c r="DH88" s="205"/>
      <c r="DI88" s="205"/>
      <c r="DJ88" s="205"/>
      <c r="DK88" s="126"/>
    </row>
    <row r="89" customFormat="false" ht="22.5" hidden="false" customHeight="false" outlineLevel="0" collapsed="false">
      <c r="A89" s="41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AT89" s="64"/>
      <c r="AU89" s="64"/>
      <c r="AV89" s="243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205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</row>
    <row r="90" customFormat="false" ht="24.75" hidden="false" customHeight="true" outlineLevel="0" collapsed="false">
      <c r="A90" s="69" t="s">
        <v>208</v>
      </c>
      <c r="B90" s="70" t="s">
        <v>296</v>
      </c>
      <c r="C90" s="71" t="s">
        <v>30</v>
      </c>
      <c r="D90" s="72" t="n">
        <f aca="false">0.5*(L90+M90+N90)+O90+Q90+2*(R90+S90)</f>
        <v>10</v>
      </c>
      <c r="E90" s="73" t="n">
        <f aca="false">L90*0.5+M90*0.5+N90*0.5+O90+P90+Q90+2*(R90+S90+T90)</f>
        <v>10</v>
      </c>
      <c r="F90" s="70"/>
      <c r="G90" s="70"/>
      <c r="H90" s="70"/>
      <c r="I90" s="70"/>
      <c r="J90" s="70"/>
      <c r="K90" s="70"/>
      <c r="L90" s="74" t="n">
        <f aca="false">SUMIFS(L92:L122,C92:C122,C90)</f>
        <v>0</v>
      </c>
      <c r="M90" s="74" t="n">
        <f aca="false">SUMIFS(M92:M122,C92:C122,C90)</f>
        <v>0</v>
      </c>
      <c r="N90" s="74" t="n">
        <f aca="false">SUMIFS(N92:N122,C92:C122,C90)</f>
        <v>0</v>
      </c>
      <c r="O90" s="74" t="n">
        <f aca="false">SUMIFS(O92:O122,C92:C122,C90)</f>
        <v>1</v>
      </c>
      <c r="P90" s="74" t="n">
        <f aca="false">SUMIFS(P92:P122,C92:C122,C90)</f>
        <v>0</v>
      </c>
      <c r="Q90" s="74" t="n">
        <f aca="false">SUMIFS(Q92:Q122,C92:C122,C90)</f>
        <v>1</v>
      </c>
      <c r="R90" s="74" t="n">
        <f aca="false">SUMIFS(R92:R122,C92:C122,C90)</f>
        <v>3</v>
      </c>
      <c r="S90" s="74" t="n">
        <f aca="false">SUMIFS(S92:S122,C92:C122,C90)</f>
        <v>1</v>
      </c>
      <c r="T90" s="74" t="n">
        <f aca="false">SUMIFS(T92:T122,C92:C122,C90)</f>
        <v>0</v>
      </c>
      <c r="U90" s="75"/>
      <c r="V90" s="76" t="n">
        <f aca="false">SUM(U92:U122)</f>
        <v>15</v>
      </c>
      <c r="AU90" s="69" t="s">
        <v>96</v>
      </c>
      <c r="AV90" s="70" t="s">
        <v>297</v>
      </c>
      <c r="AW90" s="71" t="s">
        <v>30</v>
      </c>
      <c r="AX90" s="72" t="n">
        <f aca="false">0.5*(BF90+BG90+BH90)+BI90+BK90+2*(BL90+BM90)</f>
        <v>9.5</v>
      </c>
      <c r="AY90" s="73" t="n">
        <f aca="false">BF90*0.5+BG90*0.5+BH90*0.5+BI90+BJ90+BK90+2*(BL90+BM90+BN90)</f>
        <v>11.5</v>
      </c>
      <c r="AZ90" s="70"/>
      <c r="BA90" s="70"/>
      <c r="BB90" s="70"/>
      <c r="BC90" s="70"/>
      <c r="BD90" s="70"/>
      <c r="BE90" s="70"/>
      <c r="BF90" s="74" t="n">
        <f aca="false">SUMIFS(BF93:BF122,AW93:AW122,AW90)</f>
        <v>3</v>
      </c>
      <c r="BG90" s="74" t="n">
        <f aca="false">SUMIFS(BG93:BG122,AW93:AW122,AW90)</f>
        <v>0</v>
      </c>
      <c r="BH90" s="74" t="n">
        <f aca="false">SUMIFS(BH93:BH122,AW93:AW122,AW90)</f>
        <v>0</v>
      </c>
      <c r="BI90" s="74" t="n">
        <f aca="false">SUMIFS(BI93:BI122,AW93:AW122,AW90)</f>
        <v>4</v>
      </c>
      <c r="BJ90" s="74" t="n">
        <f aca="false">SUMIFS(BJ93:BJ122,AW93:AW122,AW90)</f>
        <v>0</v>
      </c>
      <c r="BK90" s="74" t="n">
        <f aca="false">SUMIFS(BK93:BK122,AW93:AW122,AW90)</f>
        <v>2</v>
      </c>
      <c r="BL90" s="74" t="n">
        <f aca="false">SUMIFS(BL93:BL122,AW93:AW122,AW90)</f>
        <v>0</v>
      </c>
      <c r="BM90" s="74" t="n">
        <f aca="false">SUMIFS(BM93:BM122,AW93:AW122,AW90)</f>
        <v>1</v>
      </c>
      <c r="BN90" s="74" t="n">
        <f aca="false">SUMIFS(BN93:BN122,AW93:AW122,AW90)</f>
        <v>1</v>
      </c>
      <c r="BO90" s="75"/>
      <c r="BP90" s="76" t="n">
        <f aca="false">SUM(BO92:BO122)</f>
        <v>11</v>
      </c>
      <c r="BQ90" s="64"/>
      <c r="BR90" s="69" t="s">
        <v>28</v>
      </c>
      <c r="BS90" s="70" t="s">
        <v>298</v>
      </c>
      <c r="BT90" s="71" t="s">
        <v>30</v>
      </c>
      <c r="BU90" s="72" t="n">
        <f aca="false">0.5*(CC90+CD90+CE90)+CF90+CH90+2*(CI90+CJ90)</f>
        <v>9.5</v>
      </c>
      <c r="BV90" s="73" t="n">
        <f aca="false">CC90*0.5+CD90*0.5+CE90*0.5+CF90+CG90+CH90+2*(CI90+CJ90+CK90)</f>
        <v>9.5</v>
      </c>
      <c r="BW90" s="70"/>
      <c r="BX90" s="87"/>
      <c r="BY90" s="70"/>
      <c r="BZ90" s="70"/>
      <c r="CA90" s="70"/>
      <c r="CB90" s="87"/>
      <c r="CC90" s="74" t="n">
        <f aca="false">SUMIFS(CC100:CC122,BT100:BT122,BT90)</f>
        <v>2</v>
      </c>
      <c r="CD90" s="74" t="n">
        <f aca="false">SUMIFS(CD100:CD122,BT100:BT122,BT90)</f>
        <v>1</v>
      </c>
      <c r="CE90" s="74" t="n">
        <f aca="false">SUMIFS(CE100:CE122,BT100:BT122,BT90)</f>
        <v>0</v>
      </c>
      <c r="CF90" s="74" t="n">
        <f aca="false">SUMIFS(CF100:CF122,BT100:BT122,BT90)</f>
        <v>1</v>
      </c>
      <c r="CG90" s="74" t="n">
        <f aca="false">SUMIFS(CG100:CG122,BT100:BT122,BT90)</f>
        <v>0</v>
      </c>
      <c r="CH90" s="74" t="n">
        <f aca="false">SUMIFS(CH100:CH122,BT100:BT122,BT90)</f>
        <v>1</v>
      </c>
      <c r="CI90" s="74" t="n">
        <f aca="false">SUMIFS(CI100:CI122,BT100:BT122,BT90)</f>
        <v>1</v>
      </c>
      <c r="CJ90" s="74" t="n">
        <f aca="false">SUMIFS(CJ100:CJ122,BT100:BT122,BT90)</f>
        <v>2</v>
      </c>
      <c r="CK90" s="74" t="n">
        <f aca="false">SUMIFS(CK100:CK122,BT100:BT122,BT90)</f>
        <v>0</v>
      </c>
      <c r="CL90" s="75"/>
      <c r="CM90" s="76" t="n">
        <f aca="false">SUM(CL93:CL122)</f>
        <v>20</v>
      </c>
      <c r="CO90" s="69" t="s">
        <v>208</v>
      </c>
      <c r="CP90" s="70"/>
      <c r="CQ90" s="71" t="s">
        <v>30</v>
      </c>
      <c r="CR90" s="72" t="n">
        <f aca="false">0.5*(CZ90+DA90+DB90)+DC90+DE90+2*(DF90+DG90)</f>
        <v>0</v>
      </c>
      <c r="CS90" s="73" t="n">
        <f aca="false">CZ90*0.5+DA90*0.5+DB90*0.5+DC90+DD90+DE90+2*(DF90+DG90+DH90)</f>
        <v>0</v>
      </c>
      <c r="CT90" s="70"/>
      <c r="CU90" s="70"/>
      <c r="CV90" s="70"/>
      <c r="CW90" s="70"/>
      <c r="CX90" s="70"/>
      <c r="CY90" s="70"/>
      <c r="CZ90" s="74" t="n">
        <f aca="false">SUMIFS(CZ107:CZ112,CQ107:CQ112,CQ90)</f>
        <v>0</v>
      </c>
      <c r="DA90" s="74" t="n">
        <f aca="false">SUMIFS(DA107:DA112,CQ107:CQ112,CQ90)</f>
        <v>0</v>
      </c>
      <c r="DB90" s="74" t="n">
        <f aca="false">SUMIFS(DB107:DB112,CQ107:CQ112,CQ90)</f>
        <v>0</v>
      </c>
      <c r="DC90" s="74" t="n">
        <f aca="false">SUMIFS(DC107:DC112,CQ107:CQ112,CQ90)</f>
        <v>0</v>
      </c>
      <c r="DD90" s="74" t="n">
        <f aca="false">SUMIFS(DD107:DD112,CQ107:CQ112,CQ90)</f>
        <v>0</v>
      </c>
      <c r="DE90" s="74" t="n">
        <f aca="false">SUMIFS(DE107:DE112,CQ107:CQ112,CQ90)</f>
        <v>0</v>
      </c>
      <c r="DF90" s="74" t="n">
        <f aca="false">SUMIFS(DF107:DF112,CQ107:CQ112,CQ90)</f>
        <v>0</v>
      </c>
      <c r="DG90" s="74" t="n">
        <f aca="false">SUMIFS(DG107:DG112,CQ107:CQ112,CQ90)</f>
        <v>0</v>
      </c>
      <c r="DH90" s="74" t="n">
        <f aca="false">SUMIFS(DH107:DH112,CQ107:CQ112,CQ90)</f>
        <v>0</v>
      </c>
      <c r="DI90" s="75"/>
      <c r="DJ90" s="76" t="n">
        <f aca="false">SUM(DI9:DI122)</f>
        <v>34</v>
      </c>
    </row>
    <row r="91" customFormat="false" ht="24.45" hidden="false" customHeight="false" outlineLevel="0" collapsed="false">
      <c r="A91" s="69" t="s">
        <v>211</v>
      </c>
      <c r="B91" s="70"/>
      <c r="C91" s="71" t="s">
        <v>36</v>
      </c>
      <c r="D91" s="72" t="n">
        <f aca="false">0.5*(L91+M91+N91)+O91+Q91+2*(R91+S91)</f>
        <v>11</v>
      </c>
      <c r="E91" s="73" t="n">
        <f aca="false">L91*0.5+M91*0.5+N91*0.5+O91+P91+Q91+2*(R91+S91+T91)</f>
        <v>16</v>
      </c>
      <c r="F91" s="70"/>
      <c r="G91" s="70"/>
      <c r="H91" s="70"/>
      <c r="I91" s="70"/>
      <c r="J91" s="70"/>
      <c r="K91" s="70"/>
      <c r="L91" s="74" t="n">
        <f aca="false">SUMIFS(L92:L122,C92:C122,C91)</f>
        <v>1</v>
      </c>
      <c r="M91" s="74" t="n">
        <f aca="false">SUMIFS(M92:M122,C92:C122,C91)</f>
        <v>1</v>
      </c>
      <c r="N91" s="74" t="n">
        <f aca="false">SUMIFS(N92:N122,C92:C122,C91)</f>
        <v>0</v>
      </c>
      <c r="O91" s="74" t="n">
        <f aca="false">SUMIFS(O92:O122,C92:C122,C91)</f>
        <v>5</v>
      </c>
      <c r="P91" s="74" t="n">
        <f aca="false">SUMIFS(P92:P122,C92:C122,C91)</f>
        <v>3</v>
      </c>
      <c r="Q91" s="74" t="n">
        <f aca="false">SUMIFS(Q92:Q122,C92:C122,C91)</f>
        <v>3</v>
      </c>
      <c r="R91" s="74" t="n">
        <f aca="false">SUMIFS(R92:R122,C92:C122,C91)</f>
        <v>0</v>
      </c>
      <c r="S91" s="74" t="n">
        <f aca="false">SUMIFS(S92:S122,C92:C122,C91)</f>
        <v>1</v>
      </c>
      <c r="T91" s="74" t="n">
        <f aca="false">SUMIFS(T92:T122,C92:C122,C91)</f>
        <v>1</v>
      </c>
      <c r="U91" s="75"/>
      <c r="V91" s="76"/>
      <c r="AU91" s="69" t="s">
        <v>99</v>
      </c>
      <c r="AV91" s="91"/>
      <c r="AW91" s="71" t="s">
        <v>36</v>
      </c>
      <c r="AX91" s="72" t="n">
        <f aca="false">0.5*(BF91+BG91+BH91)+BI91+BK91+2*(BL91+BM91)</f>
        <v>4.5</v>
      </c>
      <c r="AY91" s="73" t="n">
        <f aca="false">BF91*0.5+BG91*0.5+BH91*0.5+BI91+BJ91+BK91+2*(BL91+BM91+BN91)</f>
        <v>5.5</v>
      </c>
      <c r="AZ91" s="70"/>
      <c r="BA91" s="70"/>
      <c r="BB91" s="70"/>
      <c r="BC91" s="70"/>
      <c r="BD91" s="70"/>
      <c r="BE91" s="70"/>
      <c r="BF91" s="74" t="n">
        <f aca="false">SUMIFS(BF93:BF122,AW93:AW122,AW91)</f>
        <v>0</v>
      </c>
      <c r="BG91" s="74" t="n">
        <f aca="false">SUMIFS(BG93:BG122,AW93:AW122,AW91)</f>
        <v>1</v>
      </c>
      <c r="BH91" s="74" t="n">
        <f aca="false">SUMIFS(BH93:BH122,AW93:AW122,AW91)</f>
        <v>0</v>
      </c>
      <c r="BI91" s="74" t="n">
        <f aca="false">SUMIFS(BI93:BI122,AW93:AW122,AW91)</f>
        <v>2</v>
      </c>
      <c r="BJ91" s="74" t="n">
        <f aca="false">SUMIFS(BJ93:BJ122,AW93:AW122,AW91)</f>
        <v>1</v>
      </c>
      <c r="BK91" s="74" t="n">
        <f aca="false">SUMIFS(BK93:BK122,AW93:AW122,AW91)</f>
        <v>0</v>
      </c>
      <c r="BL91" s="74" t="n">
        <f aca="false">SUMIFS(BL93:BL122,AW93:AW122,AW91)</f>
        <v>1</v>
      </c>
      <c r="BM91" s="74" t="n">
        <f aca="false">SUMIFS(BM93:BM122,AW93:AW122,AW91)</f>
        <v>0</v>
      </c>
      <c r="BN91" s="74" t="n">
        <f aca="false">SUMIFS(BN93:BN122,AW93:AW122,AW91)</f>
        <v>0</v>
      </c>
      <c r="BO91" s="75"/>
      <c r="BP91" s="76"/>
      <c r="BR91" s="69" t="s">
        <v>35</v>
      </c>
      <c r="BS91" s="70"/>
      <c r="BT91" s="71" t="s">
        <v>36</v>
      </c>
      <c r="BU91" s="72" t="n">
        <f aca="false">0.5*(CC91+CD91+CE91)+CF91+CH91+2*(CI91+CJ91)</f>
        <v>0</v>
      </c>
      <c r="BV91" s="73" t="n">
        <f aca="false">CC91*0.5+CD91*0.5+CE91*0.5+CF91+CG91+CH91+2*(CI91+CJ91+CK91)</f>
        <v>0</v>
      </c>
      <c r="BW91" s="70"/>
      <c r="BX91" s="87"/>
      <c r="BY91" s="70"/>
      <c r="BZ91" s="70"/>
      <c r="CA91" s="70"/>
      <c r="CB91" s="87"/>
      <c r="CC91" s="74" t="n">
        <f aca="false">SUMIFS(CC100:CC122,BT100:BT122,BT91)</f>
        <v>0</v>
      </c>
      <c r="CD91" s="74" t="n">
        <f aca="false">SUMIFS(CD100:CD122,BT100:BT122,BT91)</f>
        <v>0</v>
      </c>
      <c r="CE91" s="74" t="n">
        <f aca="false">SUMIFS(CE100:CE122,BT100:BT122,BT91)</f>
        <v>0</v>
      </c>
      <c r="CF91" s="74" t="n">
        <f aca="false">SUMIFS(CF100:CF122,BT100:BT122,BT91)</f>
        <v>0</v>
      </c>
      <c r="CG91" s="74" t="n">
        <f aca="false">SUMIFS(CG100:CG122,BT100:BT122,BT91)</f>
        <v>0</v>
      </c>
      <c r="CH91" s="74" t="n">
        <f aca="false">SUMIFS(CH100:CH122,BT100:BT122,BT91)</f>
        <v>0</v>
      </c>
      <c r="CI91" s="74" t="n">
        <f aca="false">SUMIFS(CI100:CI122,BT100:BT122,BT91)</f>
        <v>0</v>
      </c>
      <c r="CJ91" s="74" t="n">
        <f aca="false">SUMIFS(CJ100:CJ122,BT100:BT122,BT91)</f>
        <v>0</v>
      </c>
      <c r="CK91" s="74" t="n">
        <f aca="false">SUMIFS(CK100:CK122,BT100:BT122,BT91)</f>
        <v>0</v>
      </c>
      <c r="CL91" s="75"/>
      <c r="CM91" s="76"/>
      <c r="CO91" s="69" t="s">
        <v>211</v>
      </c>
      <c r="CP91" s="70"/>
      <c r="CQ91" s="71" t="s">
        <v>36</v>
      </c>
      <c r="CR91" s="72" t="n">
        <f aca="false">0.5*(CZ91+DA91+DB91)+DC91+DE91+2*(DF91+DG91)</f>
        <v>0</v>
      </c>
      <c r="CS91" s="73" t="n">
        <f aca="false">CZ91*0.5+DA91*0.5+DB91*0.5+DC91+DD91+DE91+2*(DF91+DG91+DH91)</f>
        <v>0</v>
      </c>
      <c r="CT91" s="70"/>
      <c r="CU91" s="70"/>
      <c r="CV91" s="70"/>
      <c r="CW91" s="70"/>
      <c r="CX91" s="70"/>
      <c r="CY91" s="70"/>
      <c r="CZ91" s="74" t="n">
        <f aca="false">SUMIFS(CZ107:CZ112,CQ107:CQ112,CQ91)</f>
        <v>0</v>
      </c>
      <c r="DA91" s="74" t="n">
        <f aca="false">SUMIFS(DA107:DA112,CQ107:CQ112,CQ91)</f>
        <v>0</v>
      </c>
      <c r="DB91" s="74" t="n">
        <f aca="false">SUMIFS(DB107:DB112,CQ107:CQ112,CQ91)</f>
        <v>0</v>
      </c>
      <c r="DC91" s="74" t="n">
        <f aca="false">SUMIFS(DC107:DC112,CQ107:CQ112,CQ91)</f>
        <v>0</v>
      </c>
      <c r="DD91" s="74" t="n">
        <f aca="false">SUMIFS(DD107:DD112,CQ107:CQ112,CQ91)</f>
        <v>0</v>
      </c>
      <c r="DE91" s="74" t="n">
        <f aca="false">SUMIFS(DE107:DE112,CQ107:CQ112,CQ91)</f>
        <v>0</v>
      </c>
      <c r="DF91" s="74" t="n">
        <f aca="false">SUMIFS(DF107:DF112,CQ107:CQ112,CQ91)</f>
        <v>0</v>
      </c>
      <c r="DG91" s="74" t="n">
        <f aca="false">SUMIFS(DG107:DG112,CQ107:CQ112,CQ91)</f>
        <v>0</v>
      </c>
      <c r="DH91" s="74" t="n">
        <f aca="false">SUMIFS(DH107:DH112,CQ107:CQ112,CQ91)</f>
        <v>0</v>
      </c>
      <c r="DI91" s="75"/>
      <c r="DJ91" s="76"/>
    </row>
    <row r="92" customFormat="false" ht="216" hidden="false" customHeight="true" outlineLevel="0" collapsed="false">
      <c r="A92" s="231" t="s">
        <v>107</v>
      </c>
      <c r="B92" s="127" t="s">
        <v>299</v>
      </c>
      <c r="C92" s="118" t="s">
        <v>30</v>
      </c>
      <c r="D92" s="95" t="n">
        <f aca="false">0.5*(L92+M92+N92)+O92+Q92+2*(R92+S92)</f>
        <v>4</v>
      </c>
      <c r="E92" s="95" t="n">
        <f aca="false">L92*0.5+M92*0.5+N92*0.5+O92+P92+Q92+2*(R92+S92+T92)</f>
        <v>4</v>
      </c>
      <c r="F92" s="108"/>
      <c r="G92" s="7" t="s">
        <v>109</v>
      </c>
      <c r="H92" s="149"/>
      <c r="I92" s="149"/>
      <c r="J92" s="149"/>
      <c r="K92" s="149"/>
      <c r="L92" s="129"/>
      <c r="M92" s="129"/>
      <c r="N92" s="129"/>
      <c r="O92" s="129"/>
      <c r="P92" s="129"/>
      <c r="Q92" s="129"/>
      <c r="R92" s="100" t="n">
        <v>2</v>
      </c>
      <c r="S92" s="129"/>
      <c r="T92" s="129"/>
      <c r="U92" s="102" t="n">
        <v>1</v>
      </c>
      <c r="V92" s="149"/>
      <c r="AU92" s="231" t="s">
        <v>107</v>
      </c>
      <c r="AV92" s="393" t="s">
        <v>108</v>
      </c>
      <c r="AW92" s="118" t="s">
        <v>30</v>
      </c>
      <c r="AX92" s="95" t="n">
        <f aca="false">0.5*(BF92+BG92+BH92)+BI92+BK92+2*(BL92+BM92)</f>
        <v>4</v>
      </c>
      <c r="AY92" s="95" t="n">
        <f aca="false">BF92*0.5+BG92*0.5+BH92*0.5+BI92+BJ92+BK92+2*(BL92+BM92+BN92)</f>
        <v>4</v>
      </c>
      <c r="AZ92" s="108"/>
      <c r="BA92" s="7" t="s">
        <v>109</v>
      </c>
      <c r="BB92" s="149"/>
      <c r="BC92" s="149"/>
      <c r="BD92" s="149"/>
      <c r="BE92" s="149" t="s">
        <v>110</v>
      </c>
      <c r="BF92" s="149"/>
      <c r="BG92" s="149"/>
      <c r="BH92" s="149"/>
      <c r="BI92" s="149"/>
      <c r="BJ92" s="149"/>
      <c r="BK92" s="149"/>
      <c r="BL92" s="415" t="n">
        <v>2</v>
      </c>
      <c r="BM92" s="149"/>
      <c r="BN92" s="149"/>
      <c r="BO92" s="102" t="n">
        <v>1</v>
      </c>
      <c r="BP92" s="149"/>
      <c r="BR92" s="348" t="s">
        <v>219</v>
      </c>
      <c r="BS92" s="127" t="s">
        <v>300</v>
      </c>
      <c r="BT92" s="118" t="s">
        <v>30</v>
      </c>
      <c r="BU92" s="95" t="n">
        <f aca="false">0.5*(CC92+CD92+CE92)+CF92+CH92+2*(CI92+CJ92)</f>
        <v>2</v>
      </c>
      <c r="BV92" s="95" t="n">
        <f aca="false">CC92*0.5+CD92*0.5+CE92*0.5+CF92+CG92+CH92+2*(CI92+CJ92+CK92)</f>
        <v>2</v>
      </c>
      <c r="BW92" s="416"/>
      <c r="BX92" s="119" t="s">
        <v>70</v>
      </c>
      <c r="BY92" s="349"/>
      <c r="BZ92" s="119"/>
      <c r="CA92" s="119"/>
      <c r="CB92" s="114" t="s">
        <v>4</v>
      </c>
      <c r="CC92" s="350" t="n">
        <v>4</v>
      </c>
      <c r="CD92" s="119"/>
      <c r="CE92" s="119"/>
      <c r="CF92" s="119"/>
      <c r="CG92" s="119"/>
      <c r="CH92" s="119"/>
      <c r="CI92" s="119"/>
      <c r="CJ92" s="119"/>
      <c r="CK92" s="119"/>
      <c r="CL92" s="351" t="n">
        <v>1</v>
      </c>
      <c r="CM92" s="94"/>
      <c r="CN92" s="205"/>
      <c r="CO92" s="252" t="s">
        <v>103</v>
      </c>
      <c r="CP92" s="417" t="s">
        <v>301</v>
      </c>
      <c r="CQ92" s="118" t="s">
        <v>30</v>
      </c>
      <c r="CR92" s="95" t="n">
        <f aca="false">0.5*(CZ92+DA92+DB92)+DC92+DE92+2*(DF92+DG92)</f>
        <v>6</v>
      </c>
      <c r="CS92" s="95" t="n">
        <f aca="false">CZ92*0.5+DA92*0.5+DB92*0.5+DC92+DD92+DE92+2*(DF92+DG92+DH92)</f>
        <v>6</v>
      </c>
      <c r="CT92" s="164"/>
      <c r="CU92" s="7" t="s">
        <v>42</v>
      </c>
      <c r="CV92" s="259"/>
      <c r="CW92" s="259"/>
      <c r="CX92" s="259"/>
      <c r="CY92" s="98" t="s">
        <v>244</v>
      </c>
      <c r="CZ92" s="418"/>
      <c r="DA92" s="418"/>
      <c r="DB92" s="418"/>
      <c r="DC92" s="418"/>
      <c r="DD92" s="418"/>
      <c r="DE92" s="100" t="n">
        <v>4</v>
      </c>
      <c r="DF92" s="196"/>
      <c r="DG92" s="100" t="n">
        <v>1</v>
      </c>
      <c r="DH92" s="307"/>
      <c r="DI92" s="108" t="n">
        <v>1</v>
      </c>
      <c r="DJ92" s="109"/>
    </row>
    <row r="93" customFormat="false" ht="334.5" hidden="false" customHeight="true" outlineLevel="0" collapsed="false">
      <c r="A93" s="231" t="s">
        <v>107</v>
      </c>
      <c r="B93" s="93" t="s">
        <v>302</v>
      </c>
      <c r="C93" s="118" t="s">
        <v>30</v>
      </c>
      <c r="D93" s="95" t="n">
        <f aca="false">0.5*(L93+M93+N93)+O93+Q93+2*(R93+S93)</f>
        <v>6</v>
      </c>
      <c r="E93" s="95" t="n">
        <f aca="false">L93*0.5+M93*0.5+N93*0.5+O93+P93+Q93+2*(R93+S93+T93)</f>
        <v>6</v>
      </c>
      <c r="F93" s="142"/>
      <c r="G93" s="7" t="s">
        <v>70</v>
      </c>
      <c r="H93" s="398"/>
      <c r="I93" s="107" t="s">
        <v>48</v>
      </c>
      <c r="J93" s="153"/>
      <c r="K93" s="98" t="s">
        <v>303</v>
      </c>
      <c r="L93" s="99"/>
      <c r="M93" s="99"/>
      <c r="N93" s="196"/>
      <c r="O93" s="419" t="n">
        <v>1</v>
      </c>
      <c r="P93" s="300"/>
      <c r="Q93" s="419" t="n">
        <v>1</v>
      </c>
      <c r="R93" s="419" t="n">
        <v>1</v>
      </c>
      <c r="S93" s="419" t="n">
        <v>1</v>
      </c>
      <c r="T93" s="99"/>
      <c r="U93" s="108" t="n">
        <v>1</v>
      </c>
      <c r="V93" s="149"/>
      <c r="AU93" s="231" t="s">
        <v>107</v>
      </c>
      <c r="AV93" s="420" t="s">
        <v>304</v>
      </c>
      <c r="AW93" s="118" t="s">
        <v>30</v>
      </c>
      <c r="AX93" s="95" t="n">
        <f aca="false">0.5*(BF93+BG93+BH93)+BI93+BK93+2*(BL93+BM93)</f>
        <v>4</v>
      </c>
      <c r="AY93" s="95" t="n">
        <f aca="false">BF93*0.5+BG93*0.5+BH93*0.5+BI93+BJ93+BK93+2*(BL93+BM93+BN93)</f>
        <v>4</v>
      </c>
      <c r="AZ93" s="7" t="e">
        <f aca="false">#VALUE!</f>
        <v>#VALUE!</v>
      </c>
      <c r="BA93" s="7" t="s">
        <v>51</v>
      </c>
      <c r="BB93" s="259"/>
      <c r="BC93" s="107" t="s">
        <v>48</v>
      </c>
      <c r="BD93" s="98"/>
      <c r="BE93" s="98" t="s">
        <v>305</v>
      </c>
      <c r="BF93" s="50"/>
      <c r="BG93" s="50"/>
      <c r="BI93" s="415" t="n">
        <v>4</v>
      </c>
      <c r="BJ93" s="50"/>
      <c r="BK93" s="50"/>
      <c r="BL93" s="50"/>
      <c r="BM93" s="50"/>
      <c r="BN93" s="50"/>
      <c r="BO93" s="108" t="n">
        <v>0.5</v>
      </c>
      <c r="BP93" s="138"/>
      <c r="BR93" s="190" t="s">
        <v>86</v>
      </c>
      <c r="BS93" s="147" t="s">
        <v>306</v>
      </c>
      <c r="BT93" s="94" t="s">
        <v>30</v>
      </c>
      <c r="BU93" s="118" t="n">
        <f aca="false">0.5*(CC93+CD93+CE93)+CF93+CH93+2*(CI93+CJ93)</f>
        <v>0</v>
      </c>
      <c r="BV93" s="118" t="n">
        <f aca="false">CC93*0.5+CD93*0.5+CE93*0.5+CF93+CG93+CH93+2*(CI93+CJ93+CK93)</f>
        <v>0</v>
      </c>
      <c r="BW93" s="421"/>
      <c r="BX93" s="7" t="s">
        <v>42</v>
      </c>
      <c r="BY93" s="422"/>
      <c r="BZ93" s="149"/>
      <c r="CA93" s="149"/>
      <c r="CB93" s="153" t="s">
        <v>88</v>
      </c>
      <c r="CC93" s="129"/>
      <c r="CD93" s="129"/>
      <c r="CE93" s="129"/>
      <c r="CF93" s="129"/>
      <c r="CG93" s="129"/>
      <c r="CH93" s="129"/>
      <c r="CI93" s="129"/>
      <c r="CJ93" s="129"/>
      <c r="CK93" s="129"/>
      <c r="CL93" s="108" t="n">
        <v>1</v>
      </c>
      <c r="CM93" s="149"/>
      <c r="CN93" s="205"/>
      <c r="CO93" s="252" t="s">
        <v>103</v>
      </c>
      <c r="CP93" s="127" t="s">
        <v>307</v>
      </c>
      <c r="CQ93" s="118" t="s">
        <v>36</v>
      </c>
      <c r="CR93" s="95" t="n">
        <f aca="false">0.5*(CZ93+DA93+DB93)+DC93+DE93+2*(DF93+DG93)</f>
        <v>7.5</v>
      </c>
      <c r="CS93" s="95" t="n">
        <f aca="false">CZ93*0.5+DA93*0.5+DB93*0.5+DC93+DD93+DE93+2*(DF93+DG93+DH93)</f>
        <v>11.5</v>
      </c>
      <c r="CT93" s="119" t="e">
        <f aca="false">#VALUE!</f>
        <v>#VALUE!</v>
      </c>
      <c r="CU93" s="7" t="s">
        <v>51</v>
      </c>
      <c r="CV93" s="119"/>
      <c r="CW93" s="107" t="s">
        <v>48</v>
      </c>
      <c r="CX93" s="119"/>
      <c r="CY93" s="119" t="s">
        <v>308</v>
      </c>
      <c r="CZ93" s="100" t="n">
        <v>1</v>
      </c>
      <c r="DA93" s="100" t="n">
        <v>6</v>
      </c>
      <c r="DB93" s="121"/>
      <c r="DC93" s="100" t="n">
        <v>4</v>
      </c>
      <c r="DD93" s="121"/>
      <c r="DE93" s="121"/>
      <c r="DF93" s="121"/>
      <c r="DG93" s="121"/>
      <c r="DH93" s="101" t="n">
        <v>2</v>
      </c>
      <c r="DI93" s="423" t="n">
        <v>1</v>
      </c>
      <c r="DJ93" s="119"/>
    </row>
    <row r="94" customFormat="false" ht="203.25" hidden="false" customHeight="true" outlineLevel="0" collapsed="false">
      <c r="A94" s="231" t="s">
        <v>107</v>
      </c>
      <c r="B94" s="93" t="s">
        <v>309</v>
      </c>
      <c r="C94" s="94" t="s">
        <v>36</v>
      </c>
      <c r="D94" s="95" t="n">
        <f aca="false">0.5*(L94+M94+N94)+O94+Q94+2*(R94+S94)</f>
        <v>2</v>
      </c>
      <c r="E94" s="95" t="n">
        <f aca="false">L94*0.5+M94*0.5+N94*0.5+O94+P94+Q94+2*(R94+S94+T94)</f>
        <v>4</v>
      </c>
      <c r="F94" s="142"/>
      <c r="G94" s="7" t="s">
        <v>51</v>
      </c>
      <c r="H94" s="97"/>
      <c r="I94" s="107" t="s">
        <v>48</v>
      </c>
      <c r="J94" s="153"/>
      <c r="K94" s="50" t="s">
        <v>310</v>
      </c>
      <c r="L94" s="196"/>
      <c r="M94" s="196"/>
      <c r="N94" s="196"/>
      <c r="O94" s="196"/>
      <c r="P94" s="196"/>
      <c r="Q94" s="255" t="n">
        <v>2</v>
      </c>
      <c r="R94" s="196"/>
      <c r="S94" s="144"/>
      <c r="T94" s="101" t="n">
        <v>1</v>
      </c>
      <c r="U94" s="108" t="n">
        <v>1</v>
      </c>
      <c r="V94" s="149"/>
      <c r="AU94" s="231" t="s">
        <v>107</v>
      </c>
      <c r="AV94" s="420" t="s">
        <v>311</v>
      </c>
      <c r="AW94" s="118" t="s">
        <v>30</v>
      </c>
      <c r="AX94" s="95" t="n">
        <f aca="false">0.5*(BF94+BG94+BH94)+BI94+BK94+2*(BL94+BM94)</f>
        <v>1</v>
      </c>
      <c r="AY94" s="95" t="n">
        <f aca="false">BF94*0.5+BG94*0.5+BH94*0.5+BI94+BJ94+BK94+2*(BL94+BM94+BN94)</f>
        <v>1</v>
      </c>
      <c r="AZ94" s="7" t="e">
        <f aca="false">#VALUE!</f>
        <v>#VALUE!</v>
      </c>
      <c r="BA94" s="149" t="s">
        <v>70</v>
      </c>
      <c r="BB94" s="259"/>
      <c r="BC94" s="107" t="s">
        <v>48</v>
      </c>
      <c r="BD94" s="98"/>
      <c r="BE94" s="114" t="s">
        <v>4</v>
      </c>
      <c r="BF94" s="415" t="n">
        <v>2</v>
      </c>
      <c r="BG94" s="50"/>
      <c r="BJ94" s="50"/>
      <c r="BK94" s="50"/>
      <c r="BL94" s="50"/>
      <c r="BM94" s="50"/>
      <c r="BN94" s="50"/>
      <c r="BO94" s="108" t="n">
        <v>0.5</v>
      </c>
      <c r="BP94" s="138"/>
      <c r="BR94" s="190" t="s">
        <v>86</v>
      </c>
      <c r="BS94" s="147" t="s">
        <v>312</v>
      </c>
      <c r="BT94" s="94" t="s">
        <v>30</v>
      </c>
      <c r="BU94" s="118" t="n">
        <f aca="false">0.5*(CC94+CD94+CE94)+CF94+CH94+2*(CI94+CJ94)</f>
        <v>0</v>
      </c>
      <c r="BV94" s="118" t="n">
        <f aca="false">CC94*0.5+CD94*0.5+CE94*0.5+CF94+CG94+CH94+2*(CI94+CJ94+CK94)</f>
        <v>0</v>
      </c>
      <c r="BW94" s="421"/>
      <c r="BX94" s="7" t="s">
        <v>42</v>
      </c>
      <c r="BY94" s="422"/>
      <c r="BZ94" s="149"/>
      <c r="CA94" s="149"/>
      <c r="CB94" s="153" t="s">
        <v>88</v>
      </c>
      <c r="CC94" s="129"/>
      <c r="CD94" s="129"/>
      <c r="CE94" s="129"/>
      <c r="CF94" s="129"/>
      <c r="CG94" s="129"/>
      <c r="CH94" s="129"/>
      <c r="CI94" s="129"/>
      <c r="CJ94" s="129"/>
      <c r="CK94" s="129"/>
      <c r="CL94" s="108" t="n">
        <v>1</v>
      </c>
      <c r="CM94" s="149"/>
      <c r="CN94" s="205"/>
      <c r="CO94" s="252" t="s">
        <v>103</v>
      </c>
      <c r="CP94" s="127" t="s">
        <v>313</v>
      </c>
      <c r="CQ94" s="94" t="s">
        <v>36</v>
      </c>
      <c r="CR94" s="95" t="n">
        <f aca="false">0.5*(CZ94+DA94+DB94)+DC94+DE94+2*(DF94+DG94)</f>
        <v>0</v>
      </c>
      <c r="CS94" s="95" t="n">
        <f aca="false">CZ94*0.5+DA94*0.5+DB94*0.5+DC94+DD94+DE94+2*(DF94+DG94+DH94)</f>
        <v>0</v>
      </c>
      <c r="CT94" s="206"/>
      <c r="CU94" s="149" t="s">
        <v>51</v>
      </c>
      <c r="CV94" s="114" t="s">
        <v>314</v>
      </c>
      <c r="CW94" s="103"/>
      <c r="CX94" s="103"/>
      <c r="CY94" s="119" t="s">
        <v>315</v>
      </c>
      <c r="CZ94" s="129"/>
      <c r="DA94" s="133"/>
      <c r="DB94" s="424"/>
      <c r="DC94" s="424"/>
      <c r="DD94" s="424"/>
      <c r="DE94" s="424"/>
      <c r="DF94" s="133"/>
      <c r="DG94" s="129"/>
      <c r="DH94" s="129"/>
      <c r="DI94" s="108" t="n">
        <v>1</v>
      </c>
      <c r="DJ94" s="103"/>
    </row>
    <row r="95" customFormat="false" ht="267.75" hidden="false" customHeight="true" outlineLevel="0" collapsed="false">
      <c r="A95" s="231" t="s">
        <v>107</v>
      </c>
      <c r="B95" s="93" t="s">
        <v>316</v>
      </c>
      <c r="C95" s="94" t="s">
        <v>36</v>
      </c>
      <c r="D95" s="95" t="n">
        <f aca="false">0.5*(L95+M95+N95)+O95+Q95+2*(R95+S95)</f>
        <v>1</v>
      </c>
      <c r="E95" s="95" t="n">
        <f aca="false">L95*0.5+M95*0.5+N95*0.5+O95+P95+Q95+2*(R95+S95+T95)</f>
        <v>2</v>
      </c>
      <c r="F95" s="7" t="e">
        <f aca="false">#VALUE!</f>
        <v>#VALUE!</v>
      </c>
      <c r="G95" s="7" t="s">
        <v>51</v>
      </c>
      <c r="H95" s="7"/>
      <c r="I95" s="7"/>
      <c r="J95" s="98"/>
      <c r="K95" s="98" t="s">
        <v>317</v>
      </c>
      <c r="L95" s="99"/>
      <c r="M95" s="99"/>
      <c r="N95" s="99"/>
      <c r="O95" s="255" t="n">
        <v>1</v>
      </c>
      <c r="P95" s="101" t="n">
        <v>1</v>
      </c>
      <c r="Q95" s="144"/>
      <c r="R95" s="99"/>
      <c r="S95" s="99"/>
      <c r="T95" s="99"/>
      <c r="U95" s="108" t="n">
        <v>1</v>
      </c>
      <c r="V95" s="149"/>
      <c r="AU95" s="231" t="s">
        <v>107</v>
      </c>
      <c r="AV95" s="342" t="s">
        <v>318</v>
      </c>
      <c r="AW95" s="118" t="s">
        <v>30</v>
      </c>
      <c r="AX95" s="95" t="n">
        <f aca="false">0.5*(BF95+BG95+BH95)+BI95+BK95+2*(BL95+BM95)</f>
        <v>1</v>
      </c>
      <c r="AY95" s="95" t="n">
        <f aca="false">BF95*0.5+BG95*0.5+BH95*0.5+BI95+BJ95+BK95+2*(BL95+BM95+BN95)</f>
        <v>3</v>
      </c>
      <c r="AZ95" s="7" t="e">
        <f aca="false">#VALUE!</f>
        <v>#VALUE!</v>
      </c>
      <c r="BA95" s="7" t="s">
        <v>51</v>
      </c>
      <c r="BC95" s="7"/>
      <c r="BD95" s="50"/>
      <c r="BE95" s="50" t="s">
        <v>319</v>
      </c>
      <c r="BK95" s="415" t="n">
        <v>1</v>
      </c>
      <c r="BN95" s="425" t="n">
        <v>1</v>
      </c>
      <c r="BO95" s="108" t="n">
        <v>1</v>
      </c>
      <c r="BP95" s="109"/>
      <c r="BR95" s="190" t="s">
        <v>86</v>
      </c>
      <c r="BS95" s="426" t="s">
        <v>320</v>
      </c>
      <c r="BT95" s="94" t="s">
        <v>30</v>
      </c>
      <c r="BU95" s="118" t="n">
        <f aca="false">0.5*(CC95+CD95+CE95)+CF95+CH95+2*(CI95+CJ95)</f>
        <v>0</v>
      </c>
      <c r="BV95" s="118" t="n">
        <f aca="false">CC95*0.5+CD95*0.5+CE95*0.5+CF95+CG95+CH95+2*(CI95+CJ95+CK95)</f>
        <v>0</v>
      </c>
      <c r="BW95" s="421"/>
      <c r="BX95" s="7" t="s">
        <v>42</v>
      </c>
      <c r="BY95" s="103"/>
      <c r="BZ95" s="103"/>
      <c r="CA95" s="103"/>
      <c r="CB95" s="119" t="s">
        <v>225</v>
      </c>
      <c r="CC95" s="129"/>
      <c r="CD95" s="129"/>
      <c r="CE95" s="129"/>
      <c r="CF95" s="129"/>
      <c r="CG95" s="129"/>
      <c r="CH95" s="129"/>
      <c r="CI95" s="129"/>
      <c r="CJ95" s="129"/>
      <c r="CK95" s="427"/>
      <c r="CL95" s="102" t="n">
        <v>1</v>
      </c>
      <c r="CM95" s="103"/>
      <c r="CN95" s="205"/>
      <c r="CO95" s="252" t="s">
        <v>103</v>
      </c>
      <c r="CP95" s="428" t="s">
        <v>321</v>
      </c>
      <c r="CQ95" s="429" t="s">
        <v>36</v>
      </c>
      <c r="CR95" s="326" t="n">
        <f aca="false">0.5*(CZ95+DA95+DB95)+DC95+DE95+2*(DF95+DG95)</f>
        <v>1</v>
      </c>
      <c r="CS95" s="326" t="n">
        <f aca="false">CZ95*0.5+DA95*0.5+DB95*0.5+DC95+DD95+DE95+2*(DF95+DG95+DH95)</f>
        <v>3</v>
      </c>
      <c r="CT95" s="305" t="e">
        <f aca="false">#VALUE!</f>
        <v>#VALUE!</v>
      </c>
      <c r="CU95" s="305" t="s">
        <v>51</v>
      </c>
      <c r="CV95" s="304"/>
      <c r="CW95" s="107" t="s">
        <v>48</v>
      </c>
      <c r="CX95" s="430"/>
      <c r="CY95" s="430" t="s">
        <v>322</v>
      </c>
      <c r="CZ95" s="275"/>
      <c r="DA95" s="275"/>
      <c r="DB95" s="275"/>
      <c r="DC95" s="275"/>
      <c r="DD95" s="275"/>
      <c r="DE95" s="358" t="n">
        <v>1</v>
      </c>
      <c r="DF95" s="275"/>
      <c r="DG95" s="275"/>
      <c r="DH95" s="181" t="n">
        <v>1</v>
      </c>
      <c r="DI95" s="125" t="n">
        <v>1</v>
      </c>
      <c r="DJ95" s="109"/>
    </row>
    <row r="96" customFormat="false" ht="393" hidden="false" customHeight="true" outlineLevel="0" collapsed="false">
      <c r="A96" s="231" t="s">
        <v>107</v>
      </c>
      <c r="B96" s="93" t="s">
        <v>323</v>
      </c>
      <c r="C96" s="94" t="s">
        <v>36</v>
      </c>
      <c r="D96" s="95" t="n">
        <f aca="false">0.5*(L96+M96+N96)+O96+Q96+2*(R96+S96)</f>
        <v>0.5</v>
      </c>
      <c r="E96" s="95" t="n">
        <f aca="false">L96*0.5+M96*0.5+N96*0.5+O96+P96+Q96+2*(R96+S96+T96)</f>
        <v>0.5</v>
      </c>
      <c r="F96" s="164"/>
      <c r="G96" s="7" t="s">
        <v>70</v>
      </c>
      <c r="H96" s="7"/>
      <c r="I96" s="7"/>
      <c r="J96" s="98"/>
      <c r="K96" s="114" t="s">
        <v>4</v>
      </c>
      <c r="L96" s="255" t="n">
        <v>1</v>
      </c>
      <c r="M96" s="99"/>
      <c r="N96" s="99"/>
      <c r="O96" s="99"/>
      <c r="P96" s="99"/>
      <c r="Q96" s="99"/>
      <c r="R96" s="99"/>
      <c r="S96" s="99"/>
      <c r="T96" s="99"/>
      <c r="U96" s="108" t="n">
        <v>1</v>
      </c>
      <c r="V96" s="149"/>
      <c r="AU96" s="231" t="s">
        <v>107</v>
      </c>
      <c r="AV96" s="393" t="s">
        <v>324</v>
      </c>
      <c r="AW96" s="94" t="s">
        <v>30</v>
      </c>
      <c r="AX96" s="95" t="n">
        <f aca="false">0.5*(BF96+BG96+BH96)+BI96+BK96+2*(BL96+BM96)</f>
        <v>3.5</v>
      </c>
      <c r="AY96" s="95" t="n">
        <f aca="false">BF96*0.5+BG96*0.5+BH96*0.5+BI96+BJ96+BK96+2*(BL96+BM96+BN96)</f>
        <v>3.5</v>
      </c>
      <c r="AZ96" s="103" t="e">
        <f aca="false">#VALUE!</f>
        <v>#VALUE!</v>
      </c>
      <c r="BA96" s="431" t="s">
        <v>70</v>
      </c>
      <c r="BB96" s="103"/>
      <c r="BC96" s="103"/>
      <c r="BD96" s="103"/>
      <c r="BE96" s="114" t="s">
        <v>4</v>
      </c>
      <c r="BF96" s="432" t="n">
        <v>1</v>
      </c>
      <c r="BG96" s="433"/>
      <c r="BH96" s="433"/>
      <c r="BI96" s="179"/>
      <c r="BJ96" s="433"/>
      <c r="BK96" s="432" t="n">
        <v>1</v>
      </c>
      <c r="BL96" s="179"/>
      <c r="BM96" s="432" t="n">
        <v>1</v>
      </c>
      <c r="BN96" s="433"/>
      <c r="BO96" s="251" t="n">
        <v>1</v>
      </c>
      <c r="BP96" s="103"/>
      <c r="BR96" s="190" t="s">
        <v>86</v>
      </c>
      <c r="BS96" s="93" t="s">
        <v>325</v>
      </c>
      <c r="BT96" s="94" t="s">
        <v>30</v>
      </c>
      <c r="BU96" s="118" t="n">
        <f aca="false">0.5*(CC96+CD96+CE96)+CF96+CH96+2*(CI96+CJ96)</f>
        <v>1</v>
      </c>
      <c r="BV96" s="118" t="n">
        <f aca="false">CC96*0.5+CD96*0.5+CE96*0.5+CF96+CG96+CH96+2*(CI96+CJ96+CK96)</f>
        <v>3</v>
      </c>
      <c r="BW96" s="434" t="e">
        <f aca="false">#VALUE!</f>
        <v>#VALUE!</v>
      </c>
      <c r="BX96" s="7" t="s">
        <v>42</v>
      </c>
      <c r="BY96" s="396"/>
      <c r="BZ96" s="107" t="s">
        <v>48</v>
      </c>
      <c r="CA96" s="50"/>
      <c r="CB96" s="7" t="s">
        <v>326</v>
      </c>
      <c r="CC96" s="196"/>
      <c r="CD96" s="196"/>
      <c r="CE96" s="196"/>
      <c r="CF96" s="255" t="n">
        <v>1</v>
      </c>
      <c r="CG96" s="307"/>
      <c r="CH96" s="196"/>
      <c r="CI96" s="196"/>
      <c r="CJ96" s="295"/>
      <c r="CK96" s="181" t="n">
        <v>1</v>
      </c>
      <c r="CL96" s="296" t="n">
        <v>1</v>
      </c>
      <c r="CM96" s="194"/>
      <c r="CN96" s="205"/>
      <c r="CO96" s="252" t="s">
        <v>103</v>
      </c>
      <c r="CP96" s="156" t="s">
        <v>327</v>
      </c>
      <c r="CQ96" s="94" t="s">
        <v>36</v>
      </c>
      <c r="CR96" s="95" t="n">
        <f aca="false">0.5*(CZ96+DA96+DB96)+DC96+DE96+2*(DF96+DG96)</f>
        <v>0</v>
      </c>
      <c r="CS96" s="95" t="n">
        <f aca="false">CZ96*0.5+DA96*0.5+DB96*0.5+DC96+DD96+DE96+2*(DF96+DG96+DH96)</f>
        <v>0</v>
      </c>
      <c r="CT96" s="96"/>
      <c r="CU96" s="259" t="s">
        <v>42</v>
      </c>
      <c r="CV96" s="259"/>
      <c r="CW96" s="107" t="s">
        <v>48</v>
      </c>
      <c r="CX96" s="98"/>
      <c r="CY96" s="98" t="s">
        <v>88</v>
      </c>
      <c r="CZ96" s="99"/>
      <c r="DA96" s="99"/>
      <c r="DB96" s="99"/>
      <c r="DC96" s="99"/>
      <c r="DD96" s="99"/>
      <c r="DE96" s="99"/>
      <c r="DF96" s="99"/>
      <c r="DG96" s="99"/>
      <c r="DH96" s="99"/>
      <c r="DI96" s="108" t="n">
        <v>1</v>
      </c>
      <c r="DJ96" s="138"/>
    </row>
    <row r="97" customFormat="false" ht="363.75" hidden="false" customHeight="true" outlineLevel="0" collapsed="false">
      <c r="A97" s="231" t="s">
        <v>107</v>
      </c>
      <c r="B97" s="93" t="s">
        <v>328</v>
      </c>
      <c r="C97" s="94" t="s">
        <v>36</v>
      </c>
      <c r="D97" s="95" t="n">
        <f aca="false">0.5*(L97+M97+N97)+O97+Q97+2*(R97+S97)</f>
        <v>3</v>
      </c>
      <c r="E97" s="95" t="n">
        <f aca="false">L97*0.5+M97*0.5+N97*0.5+O97+P97+Q97+2*(R97+S97+T97)</f>
        <v>3</v>
      </c>
      <c r="F97" s="142"/>
      <c r="G97" s="7" t="s">
        <v>42</v>
      </c>
      <c r="H97" s="119"/>
      <c r="I97" s="7"/>
      <c r="J97" s="50"/>
      <c r="K97" s="50" t="s">
        <v>88</v>
      </c>
      <c r="L97" s="99"/>
      <c r="M97" s="99"/>
      <c r="N97" s="99"/>
      <c r="O97" s="100" t="n">
        <v>3</v>
      </c>
      <c r="P97" s="99"/>
      <c r="Q97" s="99"/>
      <c r="R97" s="99"/>
      <c r="S97" s="99"/>
      <c r="T97" s="99"/>
      <c r="U97" s="108" t="n">
        <v>1</v>
      </c>
      <c r="V97" s="149"/>
      <c r="AU97" s="231" t="s">
        <v>107</v>
      </c>
      <c r="AV97" s="435" t="s">
        <v>329</v>
      </c>
      <c r="AW97" s="311" t="s">
        <v>36</v>
      </c>
      <c r="AX97" s="312" t="n">
        <f aca="false">0.5*(BF97+BG97+BH97)+BI97+BK97+2*(BL97+BM97)</f>
        <v>0.5</v>
      </c>
      <c r="AY97" s="312" t="n">
        <f aca="false">BF97*0.5+BG97*0.5+BH97*0.5+BI97+BJ97+BK97+2*(BL97+BM97+BN97)</f>
        <v>1.5</v>
      </c>
      <c r="AZ97" s="436"/>
      <c r="BA97" s="437" t="s">
        <v>70</v>
      </c>
      <c r="BB97" s="438"/>
      <c r="BC97" s="438"/>
      <c r="BD97" s="438"/>
      <c r="BE97" s="439" t="s">
        <v>330</v>
      </c>
      <c r="BF97" s="440"/>
      <c r="BG97" s="441" t="n">
        <v>1</v>
      </c>
      <c r="BH97" s="440"/>
      <c r="BI97" s="440"/>
      <c r="BJ97" s="442" t="n">
        <v>1</v>
      </c>
      <c r="BK97" s="440"/>
      <c r="BL97" s="440"/>
      <c r="BM97" s="440"/>
      <c r="BN97" s="440"/>
      <c r="BO97" s="221" t="n">
        <v>1</v>
      </c>
      <c r="BP97" s="151" t="s">
        <v>61</v>
      </c>
      <c r="BQ97" s="56"/>
      <c r="BR97" s="190" t="s">
        <v>86</v>
      </c>
      <c r="BS97" s="93" t="s">
        <v>331</v>
      </c>
      <c r="BT97" s="94" t="s">
        <v>30</v>
      </c>
      <c r="BU97" s="118" t="n">
        <f aca="false">0.5*(CC97+CD97+CE97)+CF97+CH97+2*(CI97+CJ97)</f>
        <v>1</v>
      </c>
      <c r="BV97" s="118" t="n">
        <f aca="false">CC97*0.5+CD97*0.5+CE97*0.5+CF97+CG97+CH97+2*(CI97+CJ97+CK97)</f>
        <v>2</v>
      </c>
      <c r="BW97" s="395"/>
      <c r="BX97" s="7" t="s">
        <v>42</v>
      </c>
      <c r="BY97" s="253" t="s">
        <v>105</v>
      </c>
      <c r="BZ97" s="103"/>
      <c r="CA97" s="153"/>
      <c r="CB97" s="153" t="s">
        <v>332</v>
      </c>
      <c r="CC97" s="196"/>
      <c r="CD97" s="196"/>
      <c r="CE97" s="196"/>
      <c r="CF97" s="443" t="n">
        <v>1</v>
      </c>
      <c r="CG97" s="181" t="n">
        <v>1</v>
      </c>
      <c r="CH97" s="401"/>
      <c r="CI97" s="144"/>
      <c r="CJ97" s="196"/>
      <c r="CK97" s="300"/>
      <c r="CL97" s="108" t="n">
        <v>1</v>
      </c>
      <c r="CM97" s="269"/>
      <c r="CO97" s="252" t="s">
        <v>103</v>
      </c>
      <c r="CP97" s="156" t="s">
        <v>333</v>
      </c>
      <c r="CQ97" s="118" t="s">
        <v>77</v>
      </c>
      <c r="CR97" s="95" t="n">
        <f aca="false">0.5*(CZ97+DA97+DB97)+DC97+DE97+2*(DF97+DG97)</f>
        <v>2</v>
      </c>
      <c r="CS97" s="95" t="n">
        <f aca="false">CZ97*0.5+DA97*0.5+DB97*0.5+DC97+DD97+DE97+2*(DF97+DG97+DH97)</f>
        <v>4</v>
      </c>
      <c r="CT97" s="50" t="e">
        <f aca="false">#VALUE!</f>
        <v>#VALUE!</v>
      </c>
      <c r="CU97" s="259" t="s">
        <v>51</v>
      </c>
      <c r="CV97" s="103"/>
      <c r="CW97" s="107" t="s">
        <v>48</v>
      </c>
      <c r="CX97" s="98"/>
      <c r="CY97" s="98" t="s">
        <v>334</v>
      </c>
      <c r="CZ97" s="99"/>
      <c r="DA97" s="99"/>
      <c r="DB97" s="99"/>
      <c r="DC97" s="99"/>
      <c r="DD97" s="99"/>
      <c r="DE97" s="99"/>
      <c r="DF97" s="100" t="n">
        <v>1</v>
      </c>
      <c r="DG97" s="99"/>
      <c r="DH97" s="181" t="n">
        <v>1</v>
      </c>
      <c r="DI97" s="108" t="n">
        <v>1</v>
      </c>
      <c r="DJ97" s="109"/>
    </row>
    <row r="98" customFormat="false" ht="300" hidden="false" customHeight="true" outlineLevel="0" collapsed="false">
      <c r="A98" s="231" t="s">
        <v>107</v>
      </c>
      <c r="B98" s="156" t="s">
        <v>335</v>
      </c>
      <c r="C98" s="118" t="s">
        <v>36</v>
      </c>
      <c r="D98" s="95" t="n">
        <f aca="false">0.5*(L98+M98+N98)+O98+Q98+2*(R98+S98)</f>
        <v>1</v>
      </c>
      <c r="E98" s="95" t="n">
        <f aca="false">L98*0.5+M98*0.5+N98*0.5+O98+P98+Q98+2*(R98+S98+T98)</f>
        <v>3</v>
      </c>
      <c r="F98" s="50" t="e">
        <f aca="false">#VALUE!</f>
        <v>#VALUE!</v>
      </c>
      <c r="G98" s="7" t="s">
        <v>42</v>
      </c>
      <c r="H98" s="259"/>
      <c r="I98" s="107" t="s">
        <v>48</v>
      </c>
      <c r="J98" s="153"/>
      <c r="K98" s="153" t="s">
        <v>336</v>
      </c>
      <c r="L98" s="196"/>
      <c r="M98" s="196"/>
      <c r="N98" s="196"/>
      <c r="O98" s="255" t="n">
        <v>1</v>
      </c>
      <c r="P98" s="181" t="n">
        <v>2</v>
      </c>
      <c r="Q98" s="196"/>
      <c r="R98" s="196"/>
      <c r="S98" s="196"/>
      <c r="T98" s="307"/>
      <c r="U98" s="108" t="n">
        <v>1</v>
      </c>
      <c r="V98" s="149"/>
      <c r="AU98" s="231" t="s">
        <v>107</v>
      </c>
      <c r="AV98" s="342" t="s">
        <v>337</v>
      </c>
      <c r="AW98" s="118" t="s">
        <v>36</v>
      </c>
      <c r="AX98" s="95" t="n">
        <f aca="false">0.5*(BF98+BG98+BH98)+BI98+BK98+2*(BL98+BM98)</f>
        <v>4</v>
      </c>
      <c r="AY98" s="95" t="n">
        <f aca="false">BF98*0.5+BG98*0.5+BH98*0.5+BI98+BJ98+BK98+2*(BL98+BM98+BN98)</f>
        <v>4</v>
      </c>
      <c r="AZ98" s="164"/>
      <c r="BA98" s="7" t="s">
        <v>42</v>
      </c>
      <c r="BC98" s="7"/>
      <c r="BD98" s="50"/>
      <c r="BE98" s="50" t="s">
        <v>338</v>
      </c>
      <c r="BF98" s="97"/>
      <c r="BG98" s="97"/>
      <c r="BH98" s="444"/>
      <c r="BI98" s="100" t="n">
        <v>2</v>
      </c>
      <c r="BJ98" s="97"/>
      <c r="BK98" s="444"/>
      <c r="BL98" s="100" t="n">
        <v>1</v>
      </c>
      <c r="BM98" s="97"/>
      <c r="BN98" s="97"/>
      <c r="BO98" s="108" t="n">
        <v>1</v>
      </c>
      <c r="BP98" s="269"/>
      <c r="BQ98" s="56"/>
      <c r="BR98" s="190" t="s">
        <v>86</v>
      </c>
      <c r="BS98" s="93" t="s">
        <v>339</v>
      </c>
      <c r="BT98" s="445" t="s">
        <v>30</v>
      </c>
      <c r="BU98" s="118" t="n">
        <f aca="false">0.5*(CC98+CD98+CE98)+CF98+CH98+2*(CI98+CJ98)</f>
        <v>1</v>
      </c>
      <c r="BV98" s="118" t="n">
        <f aca="false">CC98*0.5+CD98*0.5+CE98*0.5+CF98+CG98+CH98+2*(CI98+CJ98+CK98)</f>
        <v>1</v>
      </c>
      <c r="BW98" s="446" t="e">
        <f aca="false">#VALUE!</f>
        <v>#VALUE!</v>
      </c>
      <c r="BX98" s="7" t="s">
        <v>51</v>
      </c>
      <c r="BY98" s="298"/>
      <c r="BZ98" s="107" t="s">
        <v>48</v>
      </c>
      <c r="CA98" s="392" t="s">
        <v>14</v>
      </c>
      <c r="CB98" s="7" t="s">
        <v>340</v>
      </c>
      <c r="CC98" s="99"/>
      <c r="CD98" s="99"/>
      <c r="CE98" s="99"/>
      <c r="CF98" s="100" t="n">
        <v>1</v>
      </c>
      <c r="CG98" s="275"/>
      <c r="CH98" s="99"/>
      <c r="CI98" s="99"/>
      <c r="CJ98" s="99"/>
      <c r="CK98" s="99"/>
      <c r="CL98" s="125" t="n">
        <v>1</v>
      </c>
      <c r="CM98" s="276"/>
      <c r="CO98" s="252" t="s">
        <v>103</v>
      </c>
      <c r="CP98" s="156" t="s">
        <v>341</v>
      </c>
      <c r="CQ98" s="118" t="s">
        <v>77</v>
      </c>
      <c r="CR98" s="95" t="n">
        <f aca="false">0.5*(CZ98+DA98+DB98)+DC98+DE98+2*(DF98+DG98)</f>
        <v>0</v>
      </c>
      <c r="CS98" s="95" t="n">
        <f aca="false">CZ98*0.5+DA98*0.5+DB98*0.5+DC98+DD98+DE98+2*(DF98+DG98+DH98)</f>
        <v>0</v>
      </c>
      <c r="CT98" s="50" t="e">
        <f aca="false">#VALUE!</f>
        <v>#VALUE!</v>
      </c>
      <c r="CU98" s="7" t="s">
        <v>51</v>
      </c>
      <c r="CV98" s="103"/>
      <c r="CW98" s="107" t="s">
        <v>48</v>
      </c>
      <c r="CX98" s="50"/>
      <c r="CY98" s="50" t="s">
        <v>342</v>
      </c>
      <c r="CZ98" s="99"/>
      <c r="DA98" s="99"/>
      <c r="DB98" s="99"/>
      <c r="DC98" s="99"/>
      <c r="DD98" s="99"/>
      <c r="DE98" s="99"/>
      <c r="DF98" s="99"/>
      <c r="DG98" s="99"/>
      <c r="DH98" s="99"/>
      <c r="DI98" s="108" t="n">
        <v>1</v>
      </c>
      <c r="DJ98" s="109"/>
    </row>
    <row r="99" customFormat="false" ht="268.5" hidden="false" customHeight="true" outlineLevel="0" collapsed="false">
      <c r="A99" s="231" t="s">
        <v>107</v>
      </c>
      <c r="B99" s="156" t="s">
        <v>343</v>
      </c>
      <c r="C99" s="118" t="s">
        <v>36</v>
      </c>
      <c r="D99" s="95" t="n">
        <f aca="false">0.5*(L99+M99+N99)+O99+Q99+2*(R99+S99)</f>
        <v>0</v>
      </c>
      <c r="E99" s="95" t="n">
        <f aca="false">L99*0.5+M99*0.5+N99*0.5+O99+P99+Q99+2*(R99+S99+T99)</f>
        <v>0</v>
      </c>
      <c r="F99" s="96"/>
      <c r="G99" s="7" t="s">
        <v>42</v>
      </c>
      <c r="H99" s="259"/>
      <c r="I99" s="259"/>
      <c r="J99" s="54"/>
      <c r="K99" s="153" t="s">
        <v>344</v>
      </c>
      <c r="L99" s="99"/>
      <c r="M99" s="99"/>
      <c r="N99" s="99"/>
      <c r="O99" s="99"/>
      <c r="P99" s="99"/>
      <c r="Q99" s="99"/>
      <c r="R99" s="99"/>
      <c r="S99" s="99"/>
      <c r="T99" s="99"/>
      <c r="U99" s="108" t="n">
        <v>1</v>
      </c>
      <c r="V99" s="138"/>
      <c r="AU99" s="231" t="s">
        <v>107</v>
      </c>
      <c r="AV99" s="342" t="s">
        <v>345</v>
      </c>
      <c r="AW99" s="94" t="s">
        <v>77</v>
      </c>
      <c r="AX99" s="95" t="n">
        <f aca="false">0.5*(BF99+BG99+BH99)+BI99+BK99+2*(BL99+BM99)</f>
        <v>15</v>
      </c>
      <c r="AY99" s="95" t="n">
        <f aca="false">BF99*0.5+BG99*0.5+BH99*0.5+BI99+BJ99+BK99+2*(BL99+BM99+BN99)</f>
        <v>15</v>
      </c>
      <c r="AZ99" s="7" t="e">
        <f aca="false">#VALUE!</f>
        <v>#VALUE!</v>
      </c>
      <c r="BA99" s="292" t="s">
        <v>51</v>
      </c>
      <c r="BB99" s="292"/>
      <c r="BC99" s="107" t="s">
        <v>48</v>
      </c>
      <c r="BD99" s="7"/>
      <c r="BE99" s="7" t="s">
        <v>157</v>
      </c>
      <c r="BI99" s="447"/>
      <c r="BK99" s="448" t="n">
        <v>15</v>
      </c>
      <c r="BO99" s="351" t="n">
        <v>2</v>
      </c>
      <c r="BP99" s="151" t="s">
        <v>61</v>
      </c>
      <c r="BR99" s="190" t="s">
        <v>86</v>
      </c>
      <c r="BS99" s="93" t="s">
        <v>346</v>
      </c>
      <c r="BT99" s="94" t="s">
        <v>30</v>
      </c>
      <c r="BU99" s="118" t="n">
        <f aca="false">0.5*(CC99+CD99+CE99)+CF99+CH99+2*(CI99+CJ99)</f>
        <v>0</v>
      </c>
      <c r="BV99" s="118" t="n">
        <f aca="false">CC99*0.5+CD99*0.5+CE99*0.5+CF99+CG99+CH99+2*(CI99+CJ99+CK99)</f>
        <v>0</v>
      </c>
      <c r="BW99" s="395"/>
      <c r="BX99" s="50" t="s">
        <v>42</v>
      </c>
      <c r="BY99" s="320"/>
      <c r="BZ99" s="107" t="s">
        <v>48</v>
      </c>
      <c r="CA99" s="103"/>
      <c r="CB99" s="153" t="s">
        <v>347</v>
      </c>
      <c r="CC99" s="196"/>
      <c r="CD99" s="196"/>
      <c r="CE99" s="196"/>
      <c r="CF99" s="196"/>
      <c r="CG99" s="196"/>
      <c r="CH99" s="196"/>
      <c r="CI99" s="196"/>
      <c r="CJ99" s="196"/>
      <c r="CK99" s="196"/>
      <c r="CL99" s="108" t="n">
        <v>1</v>
      </c>
      <c r="CM99" s="194"/>
      <c r="CO99" s="252" t="s">
        <v>103</v>
      </c>
      <c r="CP99" s="156" t="s">
        <v>348</v>
      </c>
      <c r="CQ99" s="94" t="s">
        <v>77</v>
      </c>
      <c r="CR99" s="95" t="n">
        <f aca="false">0.5*(CZ99+DA99+DB99)+DC99+DE99+2*(DF99+DG99)</f>
        <v>0</v>
      </c>
      <c r="CS99" s="95" t="n">
        <f aca="false">CZ99*0.5+DA99*0.5+DB99*0.5+DC99+DD99+DE99+2*(DF99+DG99+DH99)</f>
        <v>0</v>
      </c>
      <c r="CT99" s="152"/>
      <c r="CU99" s="7" t="s">
        <v>51</v>
      </c>
      <c r="CV99" s="192"/>
      <c r="CW99" s="103"/>
      <c r="CX99" s="98"/>
      <c r="CY99" s="114" t="s">
        <v>349</v>
      </c>
      <c r="CZ99" s="7"/>
      <c r="DA99" s="7"/>
      <c r="DC99" s="7"/>
      <c r="DD99" s="7"/>
      <c r="DE99" s="7"/>
      <c r="DF99" s="7"/>
      <c r="DG99" s="7"/>
      <c r="DH99" s="7"/>
      <c r="DI99" s="108" t="n">
        <v>1</v>
      </c>
      <c r="DJ99" s="138"/>
    </row>
    <row r="100" customFormat="false" ht="222" hidden="false" customHeight="true" outlineLevel="0" collapsed="false">
      <c r="A100" s="231" t="s">
        <v>107</v>
      </c>
      <c r="B100" s="449" t="s">
        <v>350</v>
      </c>
      <c r="C100" s="94" t="s">
        <v>36</v>
      </c>
      <c r="D100" s="95" t="n">
        <f aca="false">0.5*(L100+M100+N100)+O100+Q100+2*(R100+S100)</f>
        <v>0</v>
      </c>
      <c r="E100" s="95" t="n">
        <f aca="false">L100*0.5+M100*0.5+N100*0.5+O100+P100+Q100+2*(R100+S100+T100)</f>
        <v>0</v>
      </c>
      <c r="F100" s="450"/>
      <c r="G100" s="172" t="s">
        <v>70</v>
      </c>
      <c r="H100" s="149"/>
      <c r="I100" s="107" t="s">
        <v>48</v>
      </c>
      <c r="J100" s="119"/>
      <c r="K100" s="451" t="s">
        <v>351</v>
      </c>
      <c r="L100" s="452"/>
      <c r="M100" s="452"/>
      <c r="N100" s="452"/>
      <c r="O100" s="452"/>
      <c r="P100" s="452"/>
      <c r="Q100" s="452"/>
      <c r="R100" s="452"/>
      <c r="S100" s="453"/>
      <c r="T100" s="452"/>
      <c r="U100" s="108" t="n">
        <v>1</v>
      </c>
      <c r="V100" s="109"/>
      <c r="AT100" s="56"/>
      <c r="AU100" s="337" t="s">
        <v>190</v>
      </c>
      <c r="AV100" s="279" t="s">
        <v>352</v>
      </c>
      <c r="AW100" s="94" t="s">
        <v>287</v>
      </c>
      <c r="AX100" s="95" t="n">
        <f aca="false">0.5*(BF100+BG100+BH100)+BI100+BK100+2*(BL100+BM100)</f>
        <v>3.5</v>
      </c>
      <c r="AY100" s="95" t="n">
        <f aca="false">BF100*0.5+BG100*0.5+BH100*0.5+BI100+BJ100+BK100+2*(BL100+BM100+BN100)</f>
        <v>3.5</v>
      </c>
      <c r="AZ100" s="128"/>
      <c r="BA100" s="149" t="s">
        <v>70</v>
      </c>
      <c r="BB100" s="103"/>
      <c r="BC100" s="103"/>
      <c r="BD100" s="103"/>
      <c r="BE100" s="119" t="s">
        <v>353</v>
      </c>
      <c r="BF100" s="129"/>
      <c r="BG100" s="358" t="n">
        <v>3</v>
      </c>
      <c r="BH100" s="129"/>
      <c r="BI100" s="129"/>
      <c r="BJ100" s="427"/>
      <c r="BK100" s="129"/>
      <c r="BL100" s="358" t="n">
        <v>1</v>
      </c>
      <c r="BM100" s="129"/>
      <c r="BN100" s="129"/>
      <c r="BO100" s="308" t="n">
        <v>1</v>
      </c>
      <c r="BP100" s="151" t="s">
        <v>61</v>
      </c>
      <c r="BR100" s="190" t="s">
        <v>86</v>
      </c>
      <c r="BS100" s="93" t="s">
        <v>354</v>
      </c>
      <c r="BT100" s="94" t="s">
        <v>30</v>
      </c>
      <c r="BU100" s="118" t="n">
        <f aca="false">0.5*(CC100+CD100+CE100)+CF100+CH100+2*(CI100+CJ100)</f>
        <v>0</v>
      </c>
      <c r="BV100" s="118" t="n">
        <f aca="false">CC100*0.5+CD100*0.5+CE100*0.5+CF100+CG100+CH100+2*(CI100+CJ100+CK100)</f>
        <v>0</v>
      </c>
      <c r="BW100" s="395"/>
      <c r="BX100" s="158" t="s">
        <v>65</v>
      </c>
      <c r="BY100" s="159" t="s">
        <v>66</v>
      </c>
      <c r="BZ100" s="103"/>
      <c r="CA100" s="153"/>
      <c r="CB100" s="153" t="s">
        <v>88</v>
      </c>
      <c r="CC100" s="99"/>
      <c r="CD100" s="99"/>
      <c r="CE100" s="99"/>
      <c r="CF100" s="99"/>
      <c r="CG100" s="99"/>
      <c r="CH100" s="99"/>
      <c r="CI100" s="99"/>
      <c r="CJ100" s="99"/>
      <c r="CK100" s="99"/>
      <c r="CL100" s="108" t="n">
        <v>1</v>
      </c>
      <c r="CM100" s="269"/>
      <c r="CO100" s="252" t="s">
        <v>103</v>
      </c>
      <c r="CP100" s="156" t="s">
        <v>355</v>
      </c>
      <c r="CQ100" s="118" t="s">
        <v>77</v>
      </c>
      <c r="CR100" s="95" t="n">
        <f aca="false">0.5*(CZ100+DA100+DB100)+DC100+DE100+2*(DF100+DG100)</f>
        <v>0</v>
      </c>
      <c r="CS100" s="95" t="n">
        <f aca="false">CZ100*0.5+DA100*0.5+DB100*0.5+DC100+DD100+DE100+2*(DF100+DG100+DH100)</f>
        <v>0</v>
      </c>
      <c r="CT100" s="152"/>
      <c r="CU100" s="7" t="s">
        <v>51</v>
      </c>
      <c r="CV100" s="103"/>
      <c r="CW100" s="103"/>
      <c r="CX100" s="98"/>
      <c r="CY100" s="98" t="s">
        <v>88</v>
      </c>
      <c r="CZ100" s="99"/>
      <c r="DA100" s="99"/>
      <c r="DB100" s="99"/>
      <c r="DC100" s="99"/>
      <c r="DD100" s="99"/>
      <c r="DE100" s="99"/>
      <c r="DF100" s="99"/>
      <c r="DG100" s="99"/>
      <c r="DH100" s="99"/>
      <c r="DI100" s="108" t="n">
        <v>1</v>
      </c>
      <c r="DJ100" s="454"/>
    </row>
    <row r="101" customFormat="false" ht="280.5" hidden="false" customHeight="true" outlineLevel="0" collapsed="false">
      <c r="A101" s="231" t="s">
        <v>107</v>
      </c>
      <c r="B101" s="195" t="s">
        <v>356</v>
      </c>
      <c r="C101" s="118" t="s">
        <v>36</v>
      </c>
      <c r="D101" s="95" t="n">
        <f aca="false">0.5*(L101+M101+N101)+O101+Q101+2*(R101+S101)</f>
        <v>3.5</v>
      </c>
      <c r="E101" s="95" t="n">
        <f aca="false">L101*0.5+M101*0.5+N101*0.5+O101+P101+Q101+2*(R101+S101+T101)</f>
        <v>3.5</v>
      </c>
      <c r="F101" s="119" t="e">
        <f aca="false">#VALUE!</f>
        <v>#VALUE!</v>
      </c>
      <c r="G101" s="172" t="s">
        <v>42</v>
      </c>
      <c r="H101" s="119"/>
      <c r="I101" s="119"/>
      <c r="J101" s="119"/>
      <c r="K101" s="119" t="s">
        <v>357</v>
      </c>
      <c r="L101" s="121"/>
      <c r="M101" s="100" t="n">
        <v>1</v>
      </c>
      <c r="N101" s="121"/>
      <c r="O101" s="133"/>
      <c r="P101" s="121"/>
      <c r="Q101" s="100" t="n">
        <v>1</v>
      </c>
      <c r="R101" s="455"/>
      <c r="S101" s="101" t="n">
        <v>1</v>
      </c>
      <c r="T101" s="124"/>
      <c r="U101" s="108" t="n">
        <v>1</v>
      </c>
      <c r="V101" s="119"/>
      <c r="AT101" s="205"/>
      <c r="AU101" s="337" t="s">
        <v>190</v>
      </c>
      <c r="AV101" s="279" t="s">
        <v>358</v>
      </c>
      <c r="AW101" s="94" t="s">
        <v>287</v>
      </c>
      <c r="AX101" s="95" t="n">
        <f aca="false">0.5*(BF101+BG101+BH101)+BI101+BK101+2*(BL101+BM101)</f>
        <v>2</v>
      </c>
      <c r="AY101" s="95" t="n">
        <f aca="false">BF101*0.5+BG101*0.5+BH101*0.5+BI101+BJ101+BK101+2*(BL101+BM101+BN101)</f>
        <v>4</v>
      </c>
      <c r="AZ101" s="128"/>
      <c r="BA101" s="149" t="s">
        <v>51</v>
      </c>
      <c r="BB101" s="364" t="s">
        <v>359</v>
      </c>
      <c r="BC101" s="103"/>
      <c r="BD101" s="103"/>
      <c r="BE101" s="119" t="s">
        <v>360</v>
      </c>
      <c r="BF101" s="129"/>
      <c r="BG101" s="129"/>
      <c r="BH101" s="129"/>
      <c r="BI101" s="456" t="n">
        <v>2</v>
      </c>
      <c r="BJ101" s="133"/>
      <c r="BK101" s="132"/>
      <c r="BL101" s="129"/>
      <c r="BM101" s="129"/>
      <c r="BN101" s="101" t="n">
        <v>1</v>
      </c>
      <c r="BO101" s="308" t="n">
        <v>1</v>
      </c>
      <c r="BP101" s="151" t="s">
        <v>61</v>
      </c>
      <c r="BR101" s="190" t="s">
        <v>86</v>
      </c>
      <c r="BS101" s="93" t="s">
        <v>361</v>
      </c>
      <c r="BT101" s="94" t="s">
        <v>30</v>
      </c>
      <c r="BU101" s="118" t="n">
        <f aca="false">0.5*(CC101+CD101+CE101)+CF101+CH101+2*(CI101+CJ101)</f>
        <v>0</v>
      </c>
      <c r="BV101" s="118" t="n">
        <f aca="false">CC101*0.5+CD101*0.5+CE101*0.5+CF101+CG101+CH101+2*(CI101+CJ101+CK101)</f>
        <v>0</v>
      </c>
      <c r="BW101" s="395"/>
      <c r="BX101" s="7" t="s">
        <v>42</v>
      </c>
      <c r="BY101" s="396"/>
      <c r="BZ101" s="103"/>
      <c r="CA101" s="153"/>
      <c r="CB101" s="153" t="s">
        <v>362</v>
      </c>
      <c r="CC101" s="196"/>
      <c r="CD101" s="196"/>
      <c r="CE101" s="196"/>
      <c r="CF101" s="196"/>
      <c r="CG101" s="196"/>
      <c r="CH101" s="196"/>
      <c r="CI101" s="196"/>
      <c r="CJ101" s="196"/>
      <c r="CK101" s="196"/>
      <c r="CL101" s="108" t="n">
        <v>1</v>
      </c>
      <c r="CM101" s="269"/>
      <c r="CO101" s="252" t="s">
        <v>103</v>
      </c>
      <c r="CP101" s="168" t="s">
        <v>363</v>
      </c>
      <c r="CQ101" s="118" t="s">
        <v>77</v>
      </c>
      <c r="CR101" s="95" t="n">
        <f aca="false">0.5*(CZ101+DA101+DB101)+DC101+DE101+2*(DF101+DG101)</f>
        <v>2</v>
      </c>
      <c r="CS101" s="95" t="n">
        <f aca="false">CZ101*0.5+DA101*0.5+DB101*0.5+DC101+DD101+DE101+2*(DF101+DG101+DH101)</f>
        <v>4</v>
      </c>
      <c r="CT101" s="152"/>
      <c r="CU101" s="7" t="s">
        <v>51</v>
      </c>
      <c r="CV101" s="7"/>
      <c r="CW101" s="7"/>
      <c r="CX101" s="50"/>
      <c r="CY101" s="50" t="s">
        <v>364</v>
      </c>
      <c r="CZ101" s="99"/>
      <c r="DA101" s="99"/>
      <c r="DB101" s="99"/>
      <c r="DC101" s="99"/>
      <c r="DD101" s="99"/>
      <c r="DE101" s="99"/>
      <c r="DF101" s="99"/>
      <c r="DG101" s="100" t="n">
        <v>1</v>
      </c>
      <c r="DH101" s="181" t="n">
        <v>1</v>
      </c>
      <c r="DI101" s="108" t="n">
        <v>1</v>
      </c>
      <c r="DJ101" s="103"/>
    </row>
    <row r="102" customFormat="false" ht="279" hidden="false" customHeight="true" outlineLevel="0" collapsed="false">
      <c r="A102" s="231" t="s">
        <v>107</v>
      </c>
      <c r="B102" s="156" t="s">
        <v>365</v>
      </c>
      <c r="C102" s="118" t="s">
        <v>36</v>
      </c>
      <c r="D102" s="95" t="n">
        <f aca="false">0.5*(L102+M102+N102)+O102+Q102+2*(R102+S102)</f>
        <v>0</v>
      </c>
      <c r="E102" s="95" t="n">
        <f aca="false">L102*0.5+M102*0.5+N102*0.5+O102+P102+Q102+2*(R102+S102+T102)</f>
        <v>0</v>
      </c>
      <c r="F102" s="96"/>
      <c r="G102" s="7" t="s">
        <v>70</v>
      </c>
      <c r="H102" s="7"/>
      <c r="I102" s="7"/>
      <c r="J102" s="50"/>
      <c r="K102" s="7"/>
      <c r="L102" s="99"/>
      <c r="M102" s="99"/>
      <c r="N102" s="99"/>
      <c r="O102" s="99"/>
      <c r="P102" s="99"/>
      <c r="Q102" s="99"/>
      <c r="R102" s="99"/>
      <c r="S102" s="275"/>
      <c r="T102" s="99"/>
      <c r="U102" s="108" t="n">
        <v>1</v>
      </c>
      <c r="V102" s="109"/>
      <c r="AT102" s="205"/>
      <c r="AU102" s="337" t="s">
        <v>190</v>
      </c>
      <c r="AV102" s="105" t="s">
        <v>366</v>
      </c>
      <c r="AW102" s="94" t="s">
        <v>287</v>
      </c>
      <c r="AX102" s="95" t="n">
        <f aca="false">0.5*(BF102+BG102+BH102)+BI102+BK102+2*(BL102+BM102)</f>
        <v>2</v>
      </c>
      <c r="AY102" s="95" t="n">
        <f aca="false">BF102*0.5+BG102*0.5+BH102*0.5+BI102+BJ102+BK102+2*(BL102+BM102+BN102)</f>
        <v>4</v>
      </c>
      <c r="AZ102" s="96"/>
      <c r="BA102" s="50" t="s">
        <v>51</v>
      </c>
      <c r="BB102" s="97"/>
      <c r="BC102" s="97"/>
      <c r="BD102" s="50"/>
      <c r="BE102" s="50" t="s">
        <v>367</v>
      </c>
      <c r="BF102" s="99"/>
      <c r="BG102" s="99"/>
      <c r="BH102" s="99"/>
      <c r="BI102" s="99"/>
      <c r="BJ102" s="99"/>
      <c r="BK102" s="99"/>
      <c r="BL102" s="100" t="n">
        <v>1</v>
      </c>
      <c r="BM102" s="99"/>
      <c r="BN102" s="101" t="n">
        <v>1</v>
      </c>
      <c r="BO102" s="108" t="n">
        <v>1</v>
      </c>
      <c r="BP102" s="151" t="s">
        <v>61</v>
      </c>
      <c r="BR102" s="190" t="s">
        <v>86</v>
      </c>
      <c r="BS102" s="93" t="s">
        <v>368</v>
      </c>
      <c r="BT102" s="94" t="s">
        <v>30</v>
      </c>
      <c r="BU102" s="118" t="n">
        <f aca="false">0.5*(CC102+CD102+CE102)+CF102+CH102+2*(CI102+CJ102)</f>
        <v>0</v>
      </c>
      <c r="BV102" s="118" t="n">
        <f aca="false">CC102*0.5+CD102*0.5+CE102*0.5+CF102+CG102+CH102+2*(CI102+CJ102+CK102)</f>
        <v>0</v>
      </c>
      <c r="BW102" s="395"/>
      <c r="BX102" s="7" t="s">
        <v>42</v>
      </c>
      <c r="BY102" s="396"/>
      <c r="BZ102" s="103"/>
      <c r="CA102" s="98"/>
      <c r="CB102" s="153" t="s">
        <v>369</v>
      </c>
      <c r="CC102" s="99"/>
      <c r="CD102" s="99"/>
      <c r="CE102" s="99"/>
      <c r="CF102" s="99"/>
      <c r="CG102" s="99"/>
      <c r="CH102" s="99"/>
      <c r="CI102" s="99"/>
      <c r="CJ102" s="99"/>
      <c r="CK102" s="99"/>
      <c r="CL102" s="108" t="n">
        <v>1</v>
      </c>
      <c r="CM102" s="269"/>
      <c r="CO102" s="252" t="s">
        <v>103</v>
      </c>
      <c r="CP102" s="168" t="s">
        <v>370</v>
      </c>
      <c r="CQ102" s="118" t="s">
        <v>77</v>
      </c>
      <c r="CR102" s="95" t="n">
        <f aca="false">0.5*(CZ102+DA102+DB102)+DC102+DE102+2*(DF102+DG102)</f>
        <v>0</v>
      </c>
      <c r="CS102" s="95" t="n">
        <f aca="false">CZ102*0.5+DA102*0.5+DB102*0.5+DC102+DD102+DE102+2*(DF102+DG102+DH102)</f>
        <v>0</v>
      </c>
      <c r="CT102" s="7" t="e">
        <f aca="false">#VALUE!</f>
        <v>#VALUE!</v>
      </c>
      <c r="CU102" s="7" t="s">
        <v>51</v>
      </c>
      <c r="CV102" s="7"/>
      <c r="CW102" s="7"/>
      <c r="CX102" s="50"/>
      <c r="CY102" s="7" t="s">
        <v>157</v>
      </c>
      <c r="CZ102" s="99"/>
      <c r="DA102" s="99"/>
      <c r="DB102" s="99"/>
      <c r="DC102" s="99"/>
      <c r="DD102" s="99"/>
      <c r="DE102" s="99"/>
      <c r="DF102" s="99"/>
      <c r="DG102" s="99"/>
      <c r="DH102" s="99"/>
      <c r="DI102" s="108" t="n">
        <v>1</v>
      </c>
      <c r="DJ102" s="138"/>
    </row>
    <row r="103" customFormat="false" ht="291.75" hidden="false" customHeight="true" outlineLevel="0" collapsed="false">
      <c r="A103" s="231" t="s">
        <v>107</v>
      </c>
      <c r="B103" s="156" t="s">
        <v>371</v>
      </c>
      <c r="C103" s="118" t="s">
        <v>36</v>
      </c>
      <c r="D103" s="95" t="n">
        <f aca="false">0.5*(L103+M103+N103)+O103+Q103+2*(R103+S103)</f>
        <v>0</v>
      </c>
      <c r="E103" s="95" t="n">
        <f aca="false">L103*0.5+M103*0.5+N103*0.5+O103+P103+Q103+2*(R103+S103+T103)</f>
        <v>0</v>
      </c>
      <c r="F103" s="50" t="e">
        <f aca="false">#VALUE!</f>
        <v>#VALUE!</v>
      </c>
      <c r="G103" s="7" t="s">
        <v>70</v>
      </c>
      <c r="H103" s="7"/>
      <c r="I103" s="107" t="s">
        <v>48</v>
      </c>
      <c r="J103" s="50"/>
      <c r="K103" s="50" t="s">
        <v>372</v>
      </c>
      <c r="L103" s="99"/>
      <c r="M103" s="99"/>
      <c r="N103" s="99"/>
      <c r="O103" s="99"/>
      <c r="P103" s="99"/>
      <c r="Q103" s="99"/>
      <c r="R103" s="99"/>
      <c r="S103" s="99"/>
      <c r="T103" s="99"/>
      <c r="U103" s="108" t="n">
        <v>1</v>
      </c>
      <c r="V103" s="109"/>
      <c r="AT103" s="205"/>
      <c r="BR103" s="190" t="s">
        <v>86</v>
      </c>
      <c r="BS103" s="93" t="s">
        <v>373</v>
      </c>
      <c r="BT103" s="94" t="s">
        <v>30</v>
      </c>
      <c r="BU103" s="118" t="n">
        <f aca="false">0.5*(CC103+CD103+CE103)+CF103+CH103+2*(CI103+CJ103)</f>
        <v>0</v>
      </c>
      <c r="BV103" s="118" t="n">
        <f aca="false">CC103*0.5+CD103*0.5+CE103*0.5+CF103+CG103+CH103+2*(CI103+CJ103+CK103)</f>
        <v>0</v>
      </c>
      <c r="BW103" s="457" t="s">
        <v>374</v>
      </c>
      <c r="BX103" s="457"/>
      <c r="BY103" s="457"/>
      <c r="BZ103" s="457"/>
      <c r="CA103" s="457"/>
      <c r="CB103" s="457"/>
      <c r="CC103" s="99"/>
      <c r="CD103" s="99"/>
      <c r="CE103" s="99"/>
      <c r="CF103" s="99"/>
      <c r="CG103" s="99"/>
      <c r="CH103" s="99"/>
      <c r="CI103" s="99"/>
      <c r="CJ103" s="99"/>
      <c r="CK103" s="99"/>
      <c r="CL103" s="108" t="n">
        <v>1</v>
      </c>
      <c r="CM103" s="194"/>
      <c r="CO103" s="252" t="s">
        <v>103</v>
      </c>
      <c r="CP103" s="168" t="s">
        <v>375</v>
      </c>
      <c r="CQ103" s="118" t="s">
        <v>77</v>
      </c>
      <c r="CR103" s="95" t="n">
        <f aca="false">0.5*(CZ103+DA103+DB103)+DC103+DE103+2*(DF103+DG103)</f>
        <v>0</v>
      </c>
      <c r="CS103" s="95" t="n">
        <f aca="false">CZ103*0.5+DA103*0.5+DB103*0.5+DC103+DD103+DE103+2*(DF103+DG103+DH103)</f>
        <v>0</v>
      </c>
      <c r="CT103" s="152"/>
      <c r="CU103" s="7" t="s">
        <v>42</v>
      </c>
      <c r="CV103" s="458"/>
      <c r="CW103" s="7"/>
      <c r="CX103" s="50"/>
      <c r="CY103" s="50" t="s">
        <v>376</v>
      </c>
      <c r="CZ103" s="99"/>
      <c r="DA103" s="99"/>
      <c r="DB103" s="99"/>
      <c r="DC103" s="99"/>
      <c r="DD103" s="99"/>
      <c r="DE103" s="99"/>
      <c r="DF103" s="99"/>
      <c r="DG103" s="99"/>
      <c r="DH103" s="99"/>
      <c r="DI103" s="108" t="n">
        <v>1</v>
      </c>
      <c r="DJ103" s="55"/>
    </row>
    <row r="104" customFormat="false" ht="200.25" hidden="false" customHeight="true" outlineLevel="0" collapsed="false">
      <c r="A104" s="231" t="s">
        <v>107</v>
      </c>
      <c r="B104" s="156" t="s">
        <v>377</v>
      </c>
      <c r="C104" s="94" t="s">
        <v>77</v>
      </c>
      <c r="D104" s="95" t="n">
        <f aca="false">0.5*(L104+M104+N104)+O104+Q104+2*(R104+S104)</f>
        <v>6.5</v>
      </c>
      <c r="E104" s="95" t="n">
        <f aca="false">L104*0.5+M104*0.5+N104*0.5+O104+P104+Q104+2*(R104+S104+T104)</f>
        <v>8.5</v>
      </c>
      <c r="F104" s="96"/>
      <c r="G104" s="7" t="s">
        <v>70</v>
      </c>
      <c r="H104" s="7"/>
      <c r="I104" s="7"/>
      <c r="J104" s="50"/>
      <c r="K104" s="50" t="s">
        <v>378</v>
      </c>
      <c r="L104" s="100" t="n">
        <v>1</v>
      </c>
      <c r="M104" s="133"/>
      <c r="N104" s="99"/>
      <c r="O104" s="100" t="n">
        <v>4</v>
      </c>
      <c r="P104" s="99"/>
      <c r="Q104" s="99"/>
      <c r="R104" s="100" t="n">
        <v>1</v>
      </c>
      <c r="S104" s="99"/>
      <c r="T104" s="101" t="n">
        <v>1</v>
      </c>
      <c r="U104" s="221" t="n">
        <v>1</v>
      </c>
      <c r="V104" s="222"/>
      <c r="AT104" s="25"/>
      <c r="AU104" s="205"/>
      <c r="AV104" s="239"/>
      <c r="AW104" s="205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5"/>
      <c r="BI104" s="205"/>
      <c r="BJ104" s="205"/>
      <c r="BK104" s="205"/>
      <c r="BL104" s="205"/>
      <c r="BM104" s="205"/>
      <c r="BN104" s="205"/>
      <c r="BO104" s="205"/>
      <c r="BP104" s="205"/>
      <c r="BR104" s="190" t="s">
        <v>86</v>
      </c>
      <c r="BS104" s="147" t="s">
        <v>379</v>
      </c>
      <c r="BT104" s="94" t="s">
        <v>30</v>
      </c>
      <c r="BU104" s="95" t="n">
        <f aca="false">0.5*(CC104+CD104+CE104)+CF104+CH104+2*(CI104+CJ104)</f>
        <v>2.5</v>
      </c>
      <c r="BV104" s="95" t="n">
        <f aca="false">CC104*0.5+CD104*0.5+CE104*0.5+CF104+CG104+CH104+2*(CI104+CJ104+CK104)</f>
        <v>2.5</v>
      </c>
      <c r="BW104" s="103" t="e">
        <f aca="false">#VALUE!</f>
        <v>#VALUE!</v>
      </c>
      <c r="BX104" s="149" t="s">
        <v>70</v>
      </c>
      <c r="BY104" s="114" t="s">
        <v>4</v>
      </c>
      <c r="BZ104" s="103"/>
      <c r="CA104" s="103"/>
      <c r="CB104" s="119" t="s">
        <v>380</v>
      </c>
      <c r="CC104" s="358" t="n">
        <v>1</v>
      </c>
      <c r="CD104" s="301"/>
      <c r="CE104" s="129"/>
      <c r="CF104" s="301"/>
      <c r="CG104" s="129"/>
      <c r="CH104" s="129"/>
      <c r="CI104" s="358" t="n">
        <v>1</v>
      </c>
      <c r="CJ104" s="130"/>
      <c r="CK104" s="459"/>
      <c r="CL104" s="296" t="n">
        <v>1</v>
      </c>
      <c r="CM104" s="460"/>
      <c r="CO104" s="252" t="s">
        <v>103</v>
      </c>
      <c r="CP104" s="168" t="s">
        <v>381</v>
      </c>
      <c r="CQ104" s="118" t="s">
        <v>77</v>
      </c>
      <c r="CR104" s="95" t="n">
        <f aca="false">0.5*(CZ104+DA104+DB104)+DC104+DE104+2*(DF104+DG104)</f>
        <v>0</v>
      </c>
      <c r="CS104" s="95" t="n">
        <f aca="false">CZ104*0.5+DA104*0.5+DB104*0.5+DC104+DD104+DE104+2*(DF104+DG104+DH104)</f>
        <v>0</v>
      </c>
      <c r="CT104" s="50" t="e">
        <f aca="false">#VALUE!</f>
        <v>#VALUE!</v>
      </c>
      <c r="CU104" s="7" t="s">
        <v>51</v>
      </c>
      <c r="CV104" s="458"/>
      <c r="CW104" s="107" t="s">
        <v>48</v>
      </c>
      <c r="CX104" s="50"/>
      <c r="CY104" s="50" t="s">
        <v>382</v>
      </c>
      <c r="CZ104" s="99"/>
      <c r="DA104" s="99"/>
      <c r="DB104" s="99"/>
      <c r="DC104" s="99"/>
      <c r="DD104" s="99"/>
      <c r="DE104" s="99"/>
      <c r="DF104" s="99"/>
      <c r="DG104" s="99"/>
      <c r="DH104" s="99"/>
      <c r="DI104" s="108" t="n">
        <v>1</v>
      </c>
      <c r="DJ104" s="55"/>
    </row>
    <row r="105" customFormat="false" ht="192" hidden="false" customHeight="true" outlineLevel="0" collapsed="false">
      <c r="A105" s="231" t="s">
        <v>107</v>
      </c>
      <c r="B105" s="156" t="s">
        <v>383</v>
      </c>
      <c r="C105" s="118" t="s">
        <v>77</v>
      </c>
      <c r="D105" s="95" t="n">
        <f aca="false">0.5*(L105+M105+N105)+O105+Q105+2*(R105+S105)</f>
        <v>3.5</v>
      </c>
      <c r="E105" s="95" t="n">
        <f aca="false">L105*0.5+M105*0.5+N105*0.5+O105+P105+Q105+2*(R105+S105+T105)</f>
        <v>5.5</v>
      </c>
      <c r="F105" s="142"/>
      <c r="G105" s="7" t="s">
        <v>70</v>
      </c>
      <c r="H105" s="259"/>
      <c r="I105" s="259"/>
      <c r="J105" s="98"/>
      <c r="K105" s="98"/>
      <c r="L105" s="100" t="n">
        <v>1</v>
      </c>
      <c r="M105" s="99"/>
      <c r="N105" s="99"/>
      <c r="O105" s="100" t="n">
        <v>1</v>
      </c>
      <c r="P105" s="99"/>
      <c r="Q105" s="99"/>
      <c r="R105" s="100" t="n">
        <v>1</v>
      </c>
      <c r="S105" s="174"/>
      <c r="T105" s="101" t="n">
        <v>1</v>
      </c>
      <c r="U105" s="296" t="n">
        <v>1</v>
      </c>
      <c r="V105" s="109"/>
      <c r="AT105" s="90"/>
      <c r="AU105" s="205"/>
      <c r="AV105" s="239"/>
      <c r="AW105" s="205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5"/>
      <c r="BI105" s="205"/>
      <c r="BJ105" s="205"/>
      <c r="BK105" s="205"/>
      <c r="BL105" s="205"/>
      <c r="BM105" s="205"/>
      <c r="BN105" s="205"/>
      <c r="BO105" s="205"/>
      <c r="BP105" s="205"/>
      <c r="BR105" s="190" t="s">
        <v>86</v>
      </c>
      <c r="BS105" s="147" t="s">
        <v>384</v>
      </c>
      <c r="BT105" s="94" t="s">
        <v>30</v>
      </c>
      <c r="BU105" s="95" t="n">
        <f aca="false">0.5*(CC105+CD105+CE105)+CF105+CH105+2*(CI105+CJ105)</f>
        <v>0</v>
      </c>
      <c r="BV105" s="95" t="n">
        <f aca="false">CC105*0.5+CD105*0.5+CE105*0.5+CF105+CG105+CH105+2*(CI105+CJ105+CK105)</f>
        <v>0</v>
      </c>
      <c r="BW105" s="103" t="e">
        <f aca="false">#VALUE!</f>
        <v>#VALUE!</v>
      </c>
      <c r="BX105" s="149" t="s">
        <v>70</v>
      </c>
      <c r="BY105" s="114" t="s">
        <v>4</v>
      </c>
      <c r="BZ105" s="103"/>
      <c r="CA105" s="103"/>
      <c r="CB105" s="119" t="s">
        <v>385</v>
      </c>
      <c r="CC105" s="129"/>
      <c r="CD105" s="133"/>
      <c r="CE105" s="424"/>
      <c r="CF105" s="424"/>
      <c r="CG105" s="424"/>
      <c r="CH105" s="424"/>
      <c r="CI105" s="133"/>
      <c r="CJ105" s="129"/>
      <c r="CK105" s="129"/>
      <c r="CL105" s="308" t="n">
        <v>1</v>
      </c>
      <c r="CM105" s="460"/>
      <c r="CO105" s="461" t="s">
        <v>178</v>
      </c>
      <c r="CP105" s="462" t="s">
        <v>386</v>
      </c>
      <c r="CQ105" s="311" t="s">
        <v>77</v>
      </c>
      <c r="CR105" s="312" t="n">
        <f aca="false">0.5*(CZ105+DA105+DB105)+DC105+DE105+2*(DF105+DG105)</f>
        <v>4</v>
      </c>
      <c r="CS105" s="312" t="n">
        <f aca="false">CZ105*0.5+DA105*0.5+DB105*0.5+DC105+DD105+DE105+2*(DF105+DG105+DH105)</f>
        <v>6</v>
      </c>
      <c r="CT105" s="437" t="e">
        <f aca="false">#VALUE!</f>
        <v>#VALUE!</v>
      </c>
      <c r="CU105" s="439" t="s">
        <v>51</v>
      </c>
      <c r="CV105" s="315"/>
      <c r="CW105" s="226" t="s">
        <v>48</v>
      </c>
      <c r="CX105" s="463"/>
      <c r="CY105" s="439" t="s">
        <v>387</v>
      </c>
      <c r="CZ105" s="464"/>
      <c r="DA105" s="464"/>
      <c r="DB105" s="464"/>
      <c r="DC105" s="464"/>
      <c r="DD105" s="464"/>
      <c r="DE105" s="465" t="n">
        <v>2</v>
      </c>
      <c r="DF105" s="464"/>
      <c r="DG105" s="466" t="n">
        <v>1</v>
      </c>
      <c r="DH105" s="467" t="n">
        <v>1</v>
      </c>
      <c r="DI105" s="468" t="n">
        <v>1</v>
      </c>
      <c r="DJ105" s="469"/>
      <c r="DK105" s="14"/>
    </row>
    <row r="106" customFormat="false" ht="201" hidden="false" customHeight="true" outlineLevel="0" collapsed="false">
      <c r="A106" s="231" t="s">
        <v>107</v>
      </c>
      <c r="B106" s="156" t="s">
        <v>388</v>
      </c>
      <c r="C106" s="94" t="s">
        <v>287</v>
      </c>
      <c r="D106" s="95" t="n">
        <f aca="false">0.5*(L106+M106+N106)+O106+Q106+2*(R106+S106)</f>
        <v>2</v>
      </c>
      <c r="E106" s="95" t="n">
        <f aca="false">L106*0.5+M106*0.5+N106*0.5+O106+P106+Q106+2*(R106+S106+T106)</f>
        <v>4</v>
      </c>
      <c r="F106" s="96"/>
      <c r="G106" s="7" t="s">
        <v>51</v>
      </c>
      <c r="H106" s="470" t="s">
        <v>389</v>
      </c>
      <c r="I106" s="7"/>
      <c r="J106" s="153"/>
      <c r="K106" s="50" t="s">
        <v>390</v>
      </c>
      <c r="L106" s="196"/>
      <c r="M106" s="196"/>
      <c r="N106" s="133"/>
      <c r="O106" s="196"/>
      <c r="P106" s="196"/>
      <c r="Q106" s="196"/>
      <c r="R106" s="100" t="n">
        <v>1</v>
      </c>
      <c r="S106" s="196"/>
      <c r="T106" s="101" t="n">
        <v>1</v>
      </c>
      <c r="U106" s="221" t="n">
        <v>1</v>
      </c>
      <c r="V106" s="222"/>
      <c r="AT106" s="25"/>
      <c r="AU106" s="205"/>
      <c r="AV106" s="239"/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5"/>
      <c r="BI106" s="205"/>
      <c r="BJ106" s="205"/>
      <c r="BK106" s="205"/>
      <c r="BL106" s="205"/>
      <c r="BM106" s="205"/>
      <c r="BN106" s="205"/>
      <c r="BO106" s="205"/>
      <c r="BP106" s="205"/>
      <c r="BR106" s="190" t="s">
        <v>86</v>
      </c>
      <c r="BS106" s="93" t="s">
        <v>391</v>
      </c>
      <c r="BT106" s="94" t="s">
        <v>30</v>
      </c>
      <c r="BU106" s="118" t="n">
        <f aca="false">0.5*(CC106+CD106+CE106)+CF106+CH106+2*(CI106+CJ106)</f>
        <v>1</v>
      </c>
      <c r="BV106" s="118" t="n">
        <f aca="false">CC106*0.5+CD106*0.5+CE106*0.5+CF106+CG106+CH106+2*(CI106+CJ106+CK106)</f>
        <v>1</v>
      </c>
      <c r="BW106" s="434" t="e">
        <f aca="false">#VALUE!</f>
        <v>#VALUE!</v>
      </c>
      <c r="BX106" s="7" t="s">
        <v>42</v>
      </c>
      <c r="BY106" s="471"/>
      <c r="BZ106" s="176" t="s">
        <v>48</v>
      </c>
      <c r="CA106" s="153"/>
      <c r="CB106" s="97" t="s">
        <v>326</v>
      </c>
      <c r="CC106" s="99"/>
      <c r="CD106" s="99"/>
      <c r="CE106" s="99"/>
      <c r="CF106" s="100" t="n">
        <v>1</v>
      </c>
      <c r="CG106" s="99"/>
      <c r="CH106" s="99"/>
      <c r="CI106" s="99"/>
      <c r="CJ106" s="99"/>
      <c r="CK106" s="99"/>
      <c r="CL106" s="108" t="n">
        <v>1</v>
      </c>
      <c r="CM106" s="472"/>
      <c r="CO106" s="319" t="s">
        <v>178</v>
      </c>
      <c r="CP106" s="127" t="s">
        <v>392</v>
      </c>
      <c r="CQ106" s="94" t="s">
        <v>77</v>
      </c>
      <c r="CR106" s="95" t="n">
        <f aca="false">0.5*(CZ106+DA106+DB106)+DC106+DE106+2*(DF106+DG106)</f>
        <v>0.5</v>
      </c>
      <c r="CS106" s="95" t="n">
        <f aca="false">CZ106*0.5+DA106*0.5+DB106*0.5+DC106+DD106+DE106+2*(DF106+DG106+DH106)</f>
        <v>0.5</v>
      </c>
      <c r="CT106" s="119" t="e">
        <f aca="false">#VALUE!</f>
        <v>#VALUE!</v>
      </c>
      <c r="CU106" s="7" t="s">
        <v>70</v>
      </c>
      <c r="CV106" s="103"/>
      <c r="CW106" s="107" t="s">
        <v>48</v>
      </c>
      <c r="CX106" s="119"/>
      <c r="CY106" s="114" t="s">
        <v>4</v>
      </c>
      <c r="CZ106" s="256" t="n">
        <v>1</v>
      </c>
      <c r="DA106" s="121"/>
      <c r="DB106" s="121"/>
      <c r="DC106" s="121"/>
      <c r="DD106" s="121"/>
      <c r="DE106" s="121"/>
      <c r="DF106" s="121"/>
      <c r="DG106" s="121"/>
      <c r="DH106" s="473"/>
      <c r="DI106" s="108" t="n">
        <v>1</v>
      </c>
      <c r="DJ106" s="119"/>
      <c r="DK106" s="126"/>
      <c r="DL106" s="126"/>
    </row>
    <row r="107" customFormat="false" ht="180" hidden="false" customHeight="true" outlineLevel="0" collapsed="false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56"/>
      <c r="AT107" s="25"/>
      <c r="AU107" s="205"/>
      <c r="AV107" s="239"/>
      <c r="AW107" s="205"/>
      <c r="AX107" s="205"/>
      <c r="AY107" s="205"/>
      <c r="AZ107" s="205"/>
      <c r="BA107" s="241"/>
      <c r="BB107" s="205"/>
      <c r="BC107" s="205"/>
      <c r="BD107" s="205"/>
      <c r="BE107" s="241"/>
      <c r="BF107" s="205"/>
      <c r="BG107" s="205"/>
      <c r="BH107" s="205"/>
      <c r="BI107" s="205"/>
      <c r="BJ107" s="205"/>
      <c r="BK107" s="205"/>
      <c r="BL107" s="205"/>
      <c r="BM107" s="205"/>
      <c r="BN107" s="205"/>
      <c r="BO107" s="205"/>
      <c r="BP107" s="205"/>
      <c r="BR107" s="190" t="s">
        <v>86</v>
      </c>
      <c r="BS107" s="93" t="s">
        <v>393</v>
      </c>
      <c r="BT107" s="94" t="s">
        <v>30</v>
      </c>
      <c r="BU107" s="118" t="n">
        <f aca="false">0.5*(CC107+CD107+CE107)+CF107+CH107+2*(CI107+CJ107)</f>
        <v>0</v>
      </c>
      <c r="BV107" s="118" t="n">
        <f aca="false">CC107*0.5+CD107*0.5+CE107*0.5+CF107+CG107+CH107+2*(CI107+CJ107+CK107)</f>
        <v>0</v>
      </c>
      <c r="BW107" s="395"/>
      <c r="BX107" s="7" t="s">
        <v>42</v>
      </c>
      <c r="BY107" s="179"/>
      <c r="BZ107" s="103"/>
      <c r="CA107" s="153"/>
      <c r="CB107" s="153" t="s">
        <v>369</v>
      </c>
      <c r="CC107" s="196"/>
      <c r="CD107" s="307"/>
      <c r="CE107" s="196"/>
      <c r="CF107" s="196"/>
      <c r="CG107" s="196"/>
      <c r="CH107" s="196"/>
      <c r="CI107" s="196"/>
      <c r="CJ107" s="196"/>
      <c r="CK107" s="196"/>
      <c r="CL107" s="108" t="n">
        <v>1</v>
      </c>
      <c r="CM107" s="472"/>
      <c r="DK107" s="126"/>
      <c r="DL107" s="126"/>
    </row>
    <row r="108" customFormat="false" ht="151.5" hidden="false" customHeight="true" outlineLevel="0" collapsed="false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AT108" s="25"/>
      <c r="AU108" s="205"/>
      <c r="AV108" s="239"/>
      <c r="AW108" s="205"/>
      <c r="AX108" s="205"/>
      <c r="AY108" s="205"/>
      <c r="AZ108" s="205"/>
      <c r="BA108" s="241"/>
      <c r="BB108" s="205"/>
      <c r="BC108" s="205"/>
      <c r="BD108" s="205"/>
      <c r="BE108" s="241"/>
      <c r="BF108" s="205"/>
      <c r="BG108" s="205"/>
      <c r="BH108" s="205"/>
      <c r="BI108" s="205"/>
      <c r="BJ108" s="205"/>
      <c r="BK108" s="205"/>
      <c r="BL108" s="205"/>
      <c r="BM108" s="205"/>
      <c r="BN108" s="205"/>
      <c r="BO108" s="205"/>
      <c r="BP108" s="205"/>
      <c r="BR108" s="190" t="s">
        <v>86</v>
      </c>
      <c r="BS108" s="93" t="s">
        <v>394</v>
      </c>
      <c r="BT108" s="94" t="s">
        <v>30</v>
      </c>
      <c r="BU108" s="118" t="n">
        <f aca="false">0.5*(CC108+CD108+CE108)+CF108+CH108+2*(CI108+CJ108)</f>
        <v>1</v>
      </c>
      <c r="BV108" s="118" t="n">
        <f aca="false">CC108*0.5+CD108*0.5+CE108*0.5+CF108+CG108+CH108+2*(CI108+CJ108+CK108)</f>
        <v>1</v>
      </c>
      <c r="BW108" s="395"/>
      <c r="BX108" s="7" t="s">
        <v>42</v>
      </c>
      <c r="BY108" s="179"/>
      <c r="BZ108" s="107" t="s">
        <v>48</v>
      </c>
      <c r="CA108" s="474"/>
      <c r="CB108" s="474" t="s">
        <v>395</v>
      </c>
      <c r="CC108" s="475" t="n">
        <v>1</v>
      </c>
      <c r="CD108" s="181" t="n">
        <v>1</v>
      </c>
      <c r="CE108" s="476"/>
      <c r="CF108" s="307"/>
      <c r="CG108" s="307"/>
      <c r="CH108" s="307"/>
      <c r="CI108" s="307"/>
      <c r="CJ108" s="307"/>
      <c r="CK108" s="307"/>
      <c r="CL108" s="308" t="n">
        <v>1</v>
      </c>
      <c r="CM108" s="477"/>
      <c r="DK108" s="126"/>
      <c r="DL108" s="126"/>
    </row>
    <row r="109" customFormat="false" ht="220.5" hidden="false" customHeight="true" outlineLevel="0" collapsed="false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AT109" s="25"/>
      <c r="AU109" s="205"/>
      <c r="AV109" s="239"/>
      <c r="AW109" s="205"/>
      <c r="AX109" s="205"/>
      <c r="AY109" s="205"/>
      <c r="AZ109" s="205"/>
      <c r="BA109" s="241"/>
      <c r="BB109" s="205"/>
      <c r="BC109" s="205"/>
      <c r="BD109" s="205"/>
      <c r="BE109" s="241"/>
      <c r="BF109" s="205"/>
      <c r="BG109" s="205"/>
      <c r="BH109" s="205"/>
      <c r="BI109" s="205"/>
      <c r="BJ109" s="205"/>
      <c r="BK109" s="205"/>
      <c r="BL109" s="205"/>
      <c r="BM109" s="205"/>
      <c r="BN109" s="205"/>
      <c r="BO109" s="205"/>
      <c r="BP109" s="205"/>
      <c r="BR109" s="190" t="s">
        <v>86</v>
      </c>
      <c r="BS109" s="369" t="s">
        <v>396</v>
      </c>
      <c r="BT109" s="445" t="s">
        <v>30</v>
      </c>
      <c r="BU109" s="118" t="n">
        <f aca="false">0.5*(CC109+CD109+CE109)+CF109+CH109+2*(CI109+CJ109)</f>
        <v>5</v>
      </c>
      <c r="BV109" s="118" t="n">
        <f aca="false">CC109*0.5+CD109*0.5+CE109*0.5+CF109+CG109+CH109+2*(CI109+CJ109+CK109)</f>
        <v>5</v>
      </c>
      <c r="BW109" s="434" t="e">
        <f aca="false">#VALUE!</f>
        <v>#VALUE!</v>
      </c>
      <c r="BX109" s="292" t="s">
        <v>51</v>
      </c>
      <c r="BY109" s="186"/>
      <c r="BZ109" s="193"/>
      <c r="CA109" s="185" t="s">
        <v>14</v>
      </c>
      <c r="CB109" s="478" t="s">
        <v>397</v>
      </c>
      <c r="CC109" s="144"/>
      <c r="CD109" s="264"/>
      <c r="CE109" s="144"/>
      <c r="CF109" s="144"/>
      <c r="CG109" s="144"/>
      <c r="CH109" s="255" t="n">
        <v>1</v>
      </c>
      <c r="CI109" s="144"/>
      <c r="CJ109" s="255" t="n">
        <v>2</v>
      </c>
      <c r="CK109" s="144"/>
      <c r="CL109" s="125" t="n">
        <v>1</v>
      </c>
      <c r="CM109" s="479"/>
      <c r="CO109" s="205"/>
      <c r="CP109" s="205"/>
      <c r="CQ109" s="205"/>
      <c r="CR109" s="205"/>
      <c r="CS109" s="205"/>
      <c r="CT109" s="205"/>
      <c r="CU109" s="205"/>
      <c r="CV109" s="205"/>
      <c r="CW109" s="205"/>
      <c r="CX109" s="205"/>
      <c r="CY109" s="205"/>
      <c r="CZ109" s="205"/>
      <c r="DA109" s="205"/>
      <c r="DB109" s="205"/>
      <c r="DC109" s="205"/>
      <c r="DD109" s="205"/>
      <c r="DE109" s="205"/>
      <c r="DF109" s="205"/>
      <c r="DG109" s="205"/>
      <c r="DH109" s="205"/>
      <c r="DI109" s="205"/>
      <c r="DJ109" s="205"/>
      <c r="DK109" s="126"/>
      <c r="DL109" s="126"/>
    </row>
    <row r="110" customFormat="false" ht="141" hidden="false" customHeight="true" outlineLevel="0" collapsed="false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AT110" s="25"/>
      <c r="AU110" s="205"/>
      <c r="AV110" s="239"/>
      <c r="AW110" s="205"/>
      <c r="AX110" s="205"/>
      <c r="AY110" s="205"/>
      <c r="AZ110" s="205"/>
      <c r="BA110" s="241"/>
      <c r="BB110" s="205"/>
      <c r="BC110" s="205"/>
      <c r="BD110" s="205"/>
      <c r="BE110" s="241"/>
      <c r="BF110" s="205"/>
      <c r="BG110" s="205"/>
      <c r="BH110" s="205"/>
      <c r="BI110" s="205"/>
      <c r="BJ110" s="205"/>
      <c r="BK110" s="205"/>
      <c r="BL110" s="205"/>
      <c r="BM110" s="205"/>
      <c r="BN110" s="205"/>
      <c r="BO110" s="205"/>
      <c r="BP110" s="205"/>
      <c r="BR110" s="190" t="s">
        <v>86</v>
      </c>
      <c r="BS110" s="93" t="s">
        <v>398</v>
      </c>
      <c r="BT110" s="94" t="s">
        <v>30</v>
      </c>
      <c r="BU110" s="118" t="n">
        <f aca="false">0.5*(CC110+CD110+CE110)+CF110+CH110+2*(CI110+CJ110)</f>
        <v>0</v>
      </c>
      <c r="BV110" s="118" t="n">
        <f aca="false">CC110*0.5+CD110*0.5+CE110*0.5+CF110+CG110+CH110+2*(CI110+CJ110+CK110)</f>
        <v>0</v>
      </c>
      <c r="BW110" s="421"/>
      <c r="BX110" s="158" t="s">
        <v>65</v>
      </c>
      <c r="BY110" s="159" t="s">
        <v>66</v>
      </c>
      <c r="BZ110" s="103"/>
      <c r="CA110" s="103"/>
      <c r="CB110" s="149" t="s">
        <v>399</v>
      </c>
      <c r="CC110" s="129"/>
      <c r="CD110" s="129"/>
      <c r="CE110" s="129"/>
      <c r="CF110" s="129"/>
      <c r="CG110" s="129"/>
      <c r="CH110" s="129"/>
      <c r="CI110" s="129"/>
      <c r="CJ110" s="129"/>
      <c r="CK110" s="129"/>
      <c r="CL110" s="108" t="n">
        <v>1</v>
      </c>
      <c r="CM110" s="460"/>
      <c r="CO110" s="205"/>
      <c r="CP110" s="205"/>
      <c r="CQ110" s="205"/>
      <c r="CR110" s="205"/>
      <c r="CS110" s="205"/>
      <c r="CT110" s="205"/>
      <c r="CU110" s="205"/>
      <c r="CV110" s="205"/>
      <c r="CW110" s="205"/>
      <c r="CX110" s="205"/>
      <c r="CY110" s="205"/>
      <c r="CZ110" s="205"/>
      <c r="DA110" s="205"/>
      <c r="DB110" s="205"/>
      <c r="DC110" s="205"/>
      <c r="DD110" s="205"/>
      <c r="DE110" s="205"/>
      <c r="DF110" s="205"/>
      <c r="DG110" s="205"/>
      <c r="DH110" s="205"/>
      <c r="DI110" s="205"/>
      <c r="DJ110" s="205"/>
      <c r="DK110" s="126"/>
      <c r="DL110" s="126"/>
    </row>
    <row r="111" customFormat="false" ht="207.75" hidden="false" customHeight="true" outlineLevel="0" collapsed="false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AT111" s="25"/>
      <c r="AU111" s="205"/>
      <c r="AV111" s="239"/>
      <c r="AW111" s="205"/>
      <c r="AX111" s="205"/>
      <c r="AY111" s="205"/>
      <c r="AZ111" s="205"/>
      <c r="BA111" s="241"/>
      <c r="BB111" s="205"/>
      <c r="BC111" s="205"/>
      <c r="BD111" s="205"/>
      <c r="BE111" s="241"/>
      <c r="BF111" s="205"/>
      <c r="BG111" s="205"/>
      <c r="BH111" s="205"/>
      <c r="BI111" s="205"/>
      <c r="BJ111" s="205"/>
      <c r="BK111" s="205"/>
      <c r="BL111" s="205"/>
      <c r="BM111" s="205"/>
      <c r="BN111" s="205"/>
      <c r="BO111" s="205"/>
      <c r="BP111" s="205"/>
      <c r="BR111" s="190" t="s">
        <v>86</v>
      </c>
      <c r="BS111" s="147" t="s">
        <v>400</v>
      </c>
      <c r="BT111" s="94" t="s">
        <v>30</v>
      </c>
      <c r="BU111" s="118" t="n">
        <f aca="false">0.5*(CC111+CD111+CE111)+CF111+CH111+2*(CI111+CJ111)</f>
        <v>0</v>
      </c>
      <c r="BV111" s="118" t="n">
        <f aca="false">CC111*0.5+CD111*0.5+CE111*0.5+CF111+CG111+CH111+2*(CI111+CJ111+CK111)</f>
        <v>0</v>
      </c>
      <c r="BW111" s="421"/>
      <c r="BX111" s="7" t="s">
        <v>42</v>
      </c>
      <c r="BY111" s="127"/>
      <c r="BZ111" s="149"/>
      <c r="CA111" s="149"/>
      <c r="CB111" s="119" t="s">
        <v>88</v>
      </c>
      <c r="CC111" s="129"/>
      <c r="CD111" s="129"/>
      <c r="CE111" s="129"/>
      <c r="CF111" s="129"/>
      <c r="CG111" s="129"/>
      <c r="CH111" s="129"/>
      <c r="CI111" s="129"/>
      <c r="CJ111" s="129"/>
      <c r="CK111" s="129"/>
      <c r="CL111" s="108" t="n">
        <v>1</v>
      </c>
      <c r="CM111" s="480"/>
      <c r="CO111" s="205"/>
      <c r="CP111" s="205"/>
      <c r="CQ111" s="205"/>
      <c r="CR111" s="205"/>
      <c r="CS111" s="205"/>
      <c r="CT111" s="205"/>
      <c r="CU111" s="205"/>
      <c r="CV111" s="205"/>
      <c r="CW111" s="205"/>
      <c r="CX111" s="205"/>
      <c r="CY111" s="205"/>
      <c r="CZ111" s="205"/>
      <c r="DA111" s="205"/>
      <c r="DB111" s="205"/>
      <c r="DC111" s="205"/>
      <c r="DD111" s="205"/>
      <c r="DE111" s="205"/>
      <c r="DF111" s="205"/>
      <c r="DG111" s="205"/>
      <c r="DH111" s="205"/>
      <c r="DI111" s="205"/>
      <c r="DJ111" s="205"/>
      <c r="DK111" s="126"/>
      <c r="DL111" s="126"/>
    </row>
    <row r="112" customFormat="false" ht="110.8" hidden="false" customHeight="false" outlineLevel="0" collapsed="false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AT112" s="25"/>
      <c r="AU112" s="205"/>
      <c r="AV112" s="239"/>
      <c r="AW112" s="205"/>
      <c r="AX112" s="205"/>
      <c r="AY112" s="205"/>
      <c r="AZ112" s="205"/>
      <c r="BA112" s="241"/>
      <c r="BB112" s="205"/>
      <c r="BC112" s="205"/>
      <c r="BD112" s="205"/>
      <c r="BE112" s="241"/>
      <c r="BF112" s="205"/>
      <c r="BG112" s="205"/>
      <c r="BH112" s="205"/>
      <c r="BI112" s="205"/>
      <c r="BJ112" s="205"/>
      <c r="BK112" s="205"/>
      <c r="BL112" s="205"/>
      <c r="BM112" s="205"/>
      <c r="BN112" s="205"/>
      <c r="BO112" s="205"/>
      <c r="BP112" s="205"/>
      <c r="BR112" s="190" t="s">
        <v>86</v>
      </c>
      <c r="BS112" s="93" t="s">
        <v>401</v>
      </c>
      <c r="BT112" s="94" t="s">
        <v>30</v>
      </c>
      <c r="BU112" s="118" t="n">
        <f aca="false">0.5*(CC112+CD112+CE112)+CF112+CH112+2*(CI112+CJ112)</f>
        <v>0</v>
      </c>
      <c r="BV112" s="118" t="n">
        <f aca="false">CC112*0.5+CD112*0.5+CE112*0.5+CF112+CG112+CH112+2*(CI112+CJ112+CK112)</f>
        <v>0</v>
      </c>
      <c r="BW112" s="395"/>
      <c r="BX112" s="7" t="s">
        <v>42</v>
      </c>
      <c r="BY112" s="179"/>
      <c r="BZ112" s="103"/>
      <c r="CA112" s="153"/>
      <c r="CB112" s="153" t="s">
        <v>369</v>
      </c>
      <c r="CC112" s="99"/>
      <c r="CD112" s="99"/>
      <c r="CE112" s="99"/>
      <c r="CF112" s="99"/>
      <c r="CG112" s="99"/>
      <c r="CH112" s="99"/>
      <c r="CI112" s="99"/>
      <c r="CJ112" s="99"/>
      <c r="CK112" s="99"/>
      <c r="CL112" s="108" t="n">
        <v>1</v>
      </c>
      <c r="CM112" s="472"/>
      <c r="CO112" s="205"/>
      <c r="CP112" s="205"/>
      <c r="CQ112" s="205"/>
      <c r="CR112" s="205"/>
      <c r="CS112" s="205"/>
      <c r="CT112" s="205"/>
      <c r="CU112" s="205"/>
      <c r="CV112" s="205"/>
      <c r="CW112" s="205"/>
      <c r="CX112" s="205"/>
      <c r="CY112" s="205"/>
      <c r="CZ112" s="205"/>
      <c r="DA112" s="205"/>
      <c r="DB112" s="205"/>
      <c r="DC112" s="205"/>
      <c r="DD112" s="205"/>
      <c r="DE112" s="205"/>
      <c r="DF112" s="205"/>
      <c r="DG112" s="205"/>
      <c r="DH112" s="205"/>
      <c r="DI112" s="205"/>
      <c r="DJ112" s="205"/>
      <c r="DK112" s="126"/>
      <c r="DL112" s="126"/>
    </row>
    <row r="113" customFormat="false" ht="170.25" hidden="false" customHeight="true" outlineLevel="0" collapsed="false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AT113" s="25"/>
      <c r="AU113" s="205"/>
      <c r="AV113" s="239"/>
      <c r="AW113" s="205"/>
      <c r="AX113" s="205"/>
      <c r="AY113" s="205"/>
      <c r="AZ113" s="205"/>
      <c r="BA113" s="241"/>
      <c r="BB113" s="205"/>
      <c r="BC113" s="205"/>
      <c r="BD113" s="205"/>
      <c r="BE113" s="241"/>
      <c r="BF113" s="205"/>
      <c r="BG113" s="205"/>
      <c r="BH113" s="205"/>
      <c r="BI113" s="205"/>
      <c r="BJ113" s="205"/>
      <c r="BK113" s="205"/>
      <c r="BL113" s="205"/>
      <c r="BM113" s="205"/>
      <c r="BN113" s="205"/>
      <c r="BO113" s="205"/>
      <c r="BP113" s="205"/>
      <c r="BQ113" s="205"/>
      <c r="CN113" s="205"/>
      <c r="CO113" s="205"/>
      <c r="CP113" s="205"/>
      <c r="CQ113" s="205"/>
      <c r="CR113" s="205"/>
      <c r="CS113" s="205"/>
      <c r="CT113" s="205"/>
      <c r="CU113" s="205"/>
      <c r="CV113" s="205"/>
      <c r="CW113" s="205"/>
      <c r="CX113" s="205"/>
      <c r="CY113" s="205"/>
      <c r="CZ113" s="205"/>
      <c r="DA113" s="205"/>
      <c r="DB113" s="205"/>
      <c r="DC113" s="205"/>
      <c r="DD113" s="205"/>
      <c r="DE113" s="205"/>
      <c r="DF113" s="205"/>
      <c r="DG113" s="205"/>
      <c r="DH113" s="205"/>
      <c r="DI113" s="205"/>
      <c r="DJ113" s="205"/>
      <c r="DK113" s="126"/>
      <c r="DL113" s="126"/>
    </row>
    <row r="114" customFormat="false" ht="22.5" hidden="false" customHeight="false" outlineLevel="0" collapsed="false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AT114" s="25"/>
      <c r="AU114" s="205"/>
      <c r="AV114" s="239"/>
      <c r="AW114" s="205"/>
      <c r="AX114" s="205"/>
      <c r="AY114" s="205"/>
      <c r="AZ114" s="205"/>
      <c r="BA114" s="241"/>
      <c r="BB114" s="205"/>
      <c r="BC114" s="205"/>
      <c r="BD114" s="205"/>
      <c r="BE114" s="241"/>
      <c r="BF114" s="205"/>
      <c r="BG114" s="205"/>
      <c r="BH114" s="205"/>
      <c r="BI114" s="205"/>
      <c r="BJ114" s="205"/>
      <c r="BK114" s="205"/>
      <c r="BL114" s="205"/>
      <c r="BM114" s="205"/>
      <c r="BN114" s="205"/>
      <c r="BO114" s="205"/>
      <c r="BP114" s="205"/>
      <c r="BQ114" s="205"/>
      <c r="CN114" s="205"/>
      <c r="CO114" s="205"/>
      <c r="CP114" s="205"/>
      <c r="CQ114" s="205"/>
      <c r="CR114" s="205"/>
      <c r="CS114" s="205"/>
      <c r="CT114" s="205"/>
      <c r="CU114" s="205"/>
      <c r="CV114" s="205"/>
      <c r="CW114" s="205"/>
      <c r="CX114" s="205"/>
      <c r="CY114" s="205"/>
      <c r="CZ114" s="205"/>
      <c r="DA114" s="205"/>
      <c r="DB114" s="205"/>
      <c r="DC114" s="205"/>
      <c r="DD114" s="205"/>
      <c r="DE114" s="205"/>
      <c r="DF114" s="205"/>
      <c r="DG114" s="205"/>
      <c r="DH114" s="205"/>
      <c r="DI114" s="205"/>
      <c r="DJ114" s="205"/>
      <c r="DK114" s="126"/>
      <c r="DL114" s="126"/>
    </row>
    <row r="115" customFormat="false" ht="22.5" hidden="false" customHeight="false" outlineLevel="0" collapsed="false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AT115" s="25"/>
      <c r="AU115" s="205"/>
      <c r="AV115" s="239"/>
      <c r="AW115" s="205"/>
      <c r="AX115" s="205"/>
      <c r="AY115" s="205"/>
      <c r="AZ115" s="205"/>
      <c r="BA115" s="241"/>
      <c r="BB115" s="205"/>
      <c r="BC115" s="205"/>
      <c r="BD115" s="205"/>
      <c r="BE115" s="241"/>
      <c r="BF115" s="205"/>
      <c r="BG115" s="205"/>
      <c r="BH115" s="205"/>
      <c r="BI115" s="205"/>
      <c r="BJ115" s="205"/>
      <c r="BK115" s="205"/>
      <c r="BL115" s="205"/>
      <c r="BM115" s="205"/>
      <c r="BN115" s="205"/>
      <c r="BO115" s="205"/>
      <c r="BP115" s="205"/>
      <c r="BQ115" s="205"/>
      <c r="BR115" s="205"/>
      <c r="BS115" s="205"/>
      <c r="BT115" s="205"/>
      <c r="BU115" s="205"/>
      <c r="BV115" s="205"/>
      <c r="BW115" s="205"/>
      <c r="BX115" s="205"/>
      <c r="BY115" s="205"/>
      <c r="BZ115" s="205"/>
      <c r="CA115" s="205"/>
      <c r="CB115" s="205"/>
      <c r="CC115" s="205"/>
      <c r="CD115" s="205"/>
      <c r="CE115" s="205"/>
      <c r="CF115" s="205"/>
      <c r="CG115" s="205"/>
      <c r="CH115" s="205"/>
      <c r="CI115" s="205"/>
      <c r="CJ115" s="205"/>
      <c r="CK115" s="205"/>
      <c r="CL115" s="205"/>
      <c r="CN115" s="205"/>
      <c r="CO115" s="205"/>
      <c r="CP115" s="205"/>
      <c r="CQ115" s="205"/>
      <c r="CR115" s="205"/>
      <c r="CS115" s="205"/>
      <c r="CT115" s="205"/>
      <c r="CU115" s="205"/>
      <c r="CV115" s="205"/>
      <c r="CW115" s="205"/>
      <c r="CX115" s="205"/>
      <c r="CY115" s="205"/>
      <c r="CZ115" s="205"/>
      <c r="DA115" s="205"/>
      <c r="DB115" s="205"/>
      <c r="DC115" s="205"/>
      <c r="DD115" s="205"/>
      <c r="DE115" s="205"/>
      <c r="DF115" s="205"/>
      <c r="DG115" s="205"/>
      <c r="DH115" s="205"/>
      <c r="DI115" s="205"/>
      <c r="DJ115" s="205"/>
      <c r="DK115" s="126"/>
      <c r="DL115" s="126"/>
    </row>
    <row r="116" customFormat="false" ht="22.5" hidden="false" customHeight="false" outlineLevel="0" collapsed="false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AT116" s="25"/>
      <c r="AU116" s="205"/>
      <c r="AV116" s="239"/>
      <c r="AW116" s="205"/>
      <c r="AX116" s="205"/>
      <c r="AY116" s="205"/>
      <c r="AZ116" s="205"/>
      <c r="BA116" s="241"/>
      <c r="BB116" s="205"/>
      <c r="BC116" s="205"/>
      <c r="BD116" s="205"/>
      <c r="BE116" s="241"/>
      <c r="BF116" s="205"/>
      <c r="BG116" s="205"/>
      <c r="BH116" s="205"/>
      <c r="BI116" s="205"/>
      <c r="BJ116" s="205"/>
      <c r="BK116" s="205"/>
      <c r="BL116" s="205"/>
      <c r="BM116" s="205"/>
      <c r="BN116" s="205"/>
      <c r="BO116" s="205"/>
      <c r="BP116" s="205"/>
      <c r="BQ116" s="205"/>
      <c r="BR116" s="205"/>
      <c r="BS116" s="205"/>
      <c r="BT116" s="205"/>
      <c r="BU116" s="205"/>
      <c r="BV116" s="205"/>
      <c r="BW116" s="205"/>
      <c r="BX116" s="241"/>
      <c r="BY116" s="205"/>
      <c r="BZ116" s="205"/>
      <c r="CA116" s="205"/>
      <c r="CB116" s="241"/>
      <c r="CC116" s="205"/>
      <c r="CD116" s="205"/>
      <c r="CE116" s="205"/>
      <c r="CF116" s="205"/>
      <c r="CG116" s="205"/>
      <c r="CH116" s="205"/>
      <c r="CI116" s="205"/>
      <c r="CJ116" s="205"/>
      <c r="CK116" s="205"/>
      <c r="CL116" s="205"/>
      <c r="CM116" s="205"/>
      <c r="CN116" s="205"/>
      <c r="CO116" s="205"/>
      <c r="CP116" s="205"/>
      <c r="CQ116" s="205"/>
      <c r="CR116" s="205"/>
      <c r="CS116" s="205"/>
      <c r="CT116" s="205"/>
      <c r="CU116" s="205"/>
      <c r="CV116" s="205"/>
      <c r="CW116" s="205"/>
      <c r="CX116" s="205"/>
      <c r="CY116" s="205"/>
      <c r="CZ116" s="205"/>
      <c r="DA116" s="205"/>
      <c r="DB116" s="205"/>
      <c r="DC116" s="205"/>
      <c r="DD116" s="205"/>
      <c r="DE116" s="205"/>
      <c r="DF116" s="205"/>
      <c r="DG116" s="205"/>
      <c r="DH116" s="205"/>
      <c r="DI116" s="205"/>
      <c r="DJ116" s="205"/>
      <c r="DK116" s="126"/>
      <c r="DL116" s="126"/>
    </row>
    <row r="117" customFormat="false" ht="22.5" hidden="false" customHeight="false" outlineLevel="0" collapsed="false">
      <c r="A117" s="2"/>
      <c r="C117" s="2"/>
      <c r="D117" s="2"/>
      <c r="E117" s="2"/>
      <c r="F117" s="2"/>
      <c r="I117" s="2"/>
      <c r="J117" s="2"/>
      <c r="L117" s="2"/>
      <c r="M117" s="2"/>
      <c r="N117" s="2"/>
      <c r="O117" s="2"/>
      <c r="P117" s="2"/>
      <c r="Q117" s="2"/>
      <c r="R117" s="2"/>
      <c r="S117" s="2"/>
      <c r="T117" s="2"/>
      <c r="V117" s="2"/>
      <c r="W117" s="205"/>
      <c r="AT117" s="205"/>
      <c r="AU117" s="205"/>
      <c r="AV117" s="239"/>
      <c r="AW117" s="205"/>
      <c r="AX117" s="205"/>
      <c r="AY117" s="205"/>
      <c r="AZ117" s="205"/>
      <c r="BA117" s="241"/>
      <c r="BB117" s="205"/>
      <c r="BC117" s="205"/>
      <c r="BD117" s="205"/>
      <c r="BE117" s="241"/>
      <c r="BF117" s="205"/>
      <c r="BG117" s="205"/>
      <c r="BH117" s="205"/>
      <c r="BI117" s="205"/>
      <c r="BJ117" s="205"/>
      <c r="BK117" s="205"/>
      <c r="BL117" s="205"/>
      <c r="BM117" s="205"/>
      <c r="BN117" s="205"/>
      <c r="BO117" s="205"/>
      <c r="BP117" s="205"/>
      <c r="BQ117" s="205"/>
      <c r="BR117" s="205"/>
      <c r="BS117" s="205"/>
      <c r="BT117" s="205"/>
      <c r="BU117" s="205"/>
      <c r="BV117" s="205"/>
      <c r="BW117" s="205"/>
      <c r="BX117" s="241"/>
      <c r="BY117" s="205"/>
      <c r="BZ117" s="205"/>
      <c r="CA117" s="205"/>
      <c r="CB117" s="241"/>
      <c r="CC117" s="205"/>
      <c r="CD117" s="205"/>
      <c r="CE117" s="205"/>
      <c r="CF117" s="205"/>
      <c r="CG117" s="205"/>
      <c r="CH117" s="205"/>
      <c r="CI117" s="205"/>
      <c r="CJ117" s="205"/>
      <c r="CK117" s="205"/>
      <c r="CL117" s="205"/>
      <c r="CM117" s="205"/>
      <c r="CN117" s="205"/>
      <c r="CO117" s="205"/>
      <c r="CP117" s="205"/>
      <c r="CQ117" s="205"/>
      <c r="CR117" s="205"/>
      <c r="CS117" s="205"/>
      <c r="CT117" s="205"/>
      <c r="CU117" s="205"/>
      <c r="CV117" s="205"/>
      <c r="CW117" s="205"/>
      <c r="CX117" s="205"/>
      <c r="CY117" s="205"/>
      <c r="CZ117" s="205"/>
      <c r="DA117" s="205"/>
      <c r="DB117" s="205"/>
      <c r="DC117" s="205"/>
      <c r="DD117" s="205"/>
      <c r="DE117" s="205"/>
      <c r="DF117" s="205"/>
      <c r="DG117" s="205"/>
      <c r="DH117" s="205"/>
      <c r="DI117" s="205"/>
      <c r="DJ117" s="205"/>
      <c r="DK117" s="126"/>
      <c r="DL117" s="126"/>
    </row>
    <row r="118" customFormat="false" ht="22.5" hidden="false" customHeight="false" outlineLevel="0" collapsed="false">
      <c r="A118" s="2"/>
      <c r="C118" s="2"/>
      <c r="D118" s="2"/>
      <c r="E118" s="2"/>
      <c r="F118" s="2"/>
      <c r="I118" s="2"/>
      <c r="J118" s="2"/>
      <c r="L118" s="2"/>
      <c r="M118" s="2"/>
      <c r="N118" s="2"/>
      <c r="O118" s="2"/>
      <c r="P118" s="2"/>
      <c r="Q118" s="2"/>
      <c r="R118" s="2"/>
      <c r="S118" s="2"/>
      <c r="T118" s="2"/>
      <c r="V118" s="2"/>
      <c r="W118" s="205"/>
      <c r="X118" s="2"/>
      <c r="Z118" s="2"/>
      <c r="AA118" s="2"/>
      <c r="AB118" s="2"/>
      <c r="AC118" s="2"/>
      <c r="AF118" s="2"/>
      <c r="AG118" s="2"/>
      <c r="AI118" s="2"/>
      <c r="AJ118" s="2"/>
      <c r="AK118" s="2"/>
      <c r="AL118" s="2"/>
      <c r="AM118" s="2"/>
      <c r="AN118" s="2"/>
      <c r="AO118" s="2"/>
      <c r="AP118" s="2"/>
      <c r="AQ118" s="2"/>
      <c r="AT118" s="205"/>
      <c r="AU118" s="205"/>
      <c r="AV118" s="239"/>
      <c r="AW118" s="205"/>
      <c r="AX118" s="205"/>
      <c r="AY118" s="205"/>
      <c r="AZ118" s="205"/>
      <c r="BA118" s="241"/>
      <c r="BB118" s="205"/>
      <c r="BC118" s="205"/>
      <c r="BD118" s="205"/>
      <c r="BE118" s="241"/>
      <c r="BF118" s="205"/>
      <c r="BG118" s="205"/>
      <c r="BH118" s="205"/>
      <c r="BI118" s="205"/>
      <c r="BJ118" s="205"/>
      <c r="BK118" s="205"/>
      <c r="BL118" s="205"/>
      <c r="BM118" s="205"/>
      <c r="BN118" s="205"/>
      <c r="BO118" s="205"/>
      <c r="BP118" s="205"/>
      <c r="BQ118" s="205"/>
      <c r="BR118" s="205"/>
      <c r="BS118" s="205"/>
      <c r="BT118" s="205"/>
      <c r="BU118" s="205"/>
      <c r="BV118" s="205"/>
      <c r="BW118" s="205"/>
      <c r="BX118" s="241"/>
      <c r="BY118" s="205"/>
      <c r="BZ118" s="205"/>
      <c r="CA118" s="205"/>
      <c r="CB118" s="241"/>
      <c r="CC118" s="205"/>
      <c r="CD118" s="205"/>
      <c r="CE118" s="205"/>
      <c r="CF118" s="205"/>
      <c r="CG118" s="205"/>
      <c r="CH118" s="205"/>
      <c r="CI118" s="205"/>
      <c r="CJ118" s="205"/>
      <c r="CK118" s="205"/>
      <c r="CL118" s="205"/>
      <c r="CM118" s="205"/>
      <c r="CN118" s="205"/>
      <c r="CO118" s="205"/>
      <c r="CP118" s="205"/>
      <c r="CQ118" s="205"/>
      <c r="CR118" s="205"/>
      <c r="CS118" s="205"/>
      <c r="CT118" s="205"/>
      <c r="CU118" s="205"/>
      <c r="CV118" s="205"/>
      <c r="CW118" s="205"/>
      <c r="CX118" s="205"/>
      <c r="CY118" s="205"/>
      <c r="CZ118" s="205"/>
      <c r="DA118" s="205"/>
      <c r="DB118" s="205"/>
      <c r="DC118" s="205"/>
      <c r="DD118" s="205"/>
      <c r="DE118" s="205"/>
      <c r="DF118" s="205"/>
      <c r="DG118" s="205"/>
      <c r="DH118" s="205"/>
      <c r="DI118" s="205"/>
      <c r="DJ118" s="205"/>
      <c r="DK118" s="126"/>
      <c r="DL118" s="126"/>
      <c r="DM118" s="2"/>
      <c r="DN118" s="2"/>
      <c r="DO118" s="2"/>
    </row>
    <row r="119" customFormat="false" ht="22.5" hidden="false" customHeight="false" outlineLevel="0" collapsed="false">
      <c r="A119" s="2"/>
      <c r="C119" s="2"/>
      <c r="D119" s="2"/>
      <c r="E119" s="2"/>
      <c r="F119" s="2"/>
      <c r="I119" s="2"/>
      <c r="J119" s="2"/>
      <c r="L119" s="2"/>
      <c r="M119" s="2"/>
      <c r="N119" s="2"/>
      <c r="O119" s="2"/>
      <c r="P119" s="2"/>
      <c r="Q119" s="2"/>
      <c r="R119" s="2"/>
      <c r="S119" s="2"/>
      <c r="T119" s="2"/>
      <c r="V119" s="2"/>
      <c r="W119" s="205"/>
      <c r="X119" s="2"/>
      <c r="Z119" s="2"/>
      <c r="AA119" s="2"/>
      <c r="AB119" s="2"/>
      <c r="AC119" s="2"/>
      <c r="AF119" s="2"/>
      <c r="AG119" s="2"/>
      <c r="AI119" s="2"/>
      <c r="AJ119" s="2"/>
      <c r="AK119" s="2"/>
      <c r="AL119" s="2"/>
      <c r="AM119" s="2"/>
      <c r="AN119" s="2"/>
      <c r="AO119" s="2"/>
      <c r="AP119" s="2"/>
      <c r="AQ119" s="2"/>
      <c r="AT119" s="205"/>
      <c r="AU119" s="205"/>
      <c r="AV119" s="239"/>
      <c r="AW119" s="205"/>
      <c r="AX119" s="205"/>
      <c r="AY119" s="205"/>
      <c r="AZ119" s="205"/>
      <c r="BA119" s="241"/>
      <c r="BB119" s="205"/>
      <c r="BC119" s="205"/>
      <c r="BD119" s="205"/>
      <c r="BE119" s="241"/>
      <c r="BF119" s="205"/>
      <c r="BG119" s="205"/>
      <c r="BH119" s="205"/>
      <c r="BI119" s="205"/>
      <c r="BJ119" s="205"/>
      <c r="BK119" s="205"/>
      <c r="BL119" s="205"/>
      <c r="BM119" s="205"/>
      <c r="BN119" s="205"/>
      <c r="BO119" s="205"/>
      <c r="BP119" s="205"/>
      <c r="BQ119" s="205"/>
      <c r="BR119" s="205"/>
      <c r="BS119" s="205"/>
      <c r="BT119" s="205"/>
      <c r="BU119" s="205"/>
      <c r="BV119" s="205"/>
      <c r="BW119" s="205"/>
      <c r="BX119" s="241"/>
      <c r="BY119" s="205"/>
      <c r="BZ119" s="205"/>
      <c r="CA119" s="205"/>
      <c r="CB119" s="241"/>
      <c r="CC119" s="205"/>
      <c r="CD119" s="205"/>
      <c r="CE119" s="205"/>
      <c r="CF119" s="205"/>
      <c r="CG119" s="205"/>
      <c r="CH119" s="205"/>
      <c r="CI119" s="205"/>
      <c r="CJ119" s="205"/>
      <c r="CK119" s="205"/>
      <c r="CL119" s="205"/>
      <c r="CM119" s="205"/>
      <c r="CN119" s="205"/>
      <c r="CO119" s="205"/>
      <c r="CP119" s="205"/>
      <c r="CQ119" s="205"/>
      <c r="CR119" s="205"/>
      <c r="CS119" s="205"/>
      <c r="CT119" s="205"/>
      <c r="CU119" s="205"/>
      <c r="CV119" s="205"/>
      <c r="CW119" s="205"/>
      <c r="CX119" s="205"/>
      <c r="CY119" s="205"/>
      <c r="CZ119" s="205"/>
      <c r="DA119" s="205"/>
      <c r="DB119" s="205"/>
      <c r="DC119" s="205"/>
      <c r="DD119" s="205"/>
      <c r="DE119" s="205"/>
      <c r="DF119" s="205"/>
      <c r="DG119" s="205"/>
      <c r="DH119" s="205"/>
      <c r="DI119" s="205"/>
      <c r="DJ119" s="205"/>
      <c r="DK119" s="126"/>
      <c r="DL119" s="126"/>
      <c r="DM119" s="2"/>
      <c r="DN119" s="2"/>
      <c r="DO119" s="2"/>
    </row>
    <row r="120" customFormat="false" ht="22.5" hidden="false" customHeight="false" outlineLevel="0" collapsed="false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"/>
      <c r="Z120" s="2"/>
      <c r="AA120" s="2"/>
      <c r="AB120" s="2"/>
      <c r="AC120" s="2"/>
      <c r="AF120" s="2"/>
      <c r="AG120" s="2"/>
      <c r="AI120" s="2"/>
      <c r="AJ120" s="2"/>
      <c r="AK120" s="2"/>
      <c r="AL120" s="2"/>
      <c r="AM120" s="2"/>
      <c r="AN120" s="2"/>
      <c r="AO120" s="2"/>
      <c r="AP120" s="2"/>
      <c r="AQ120" s="2"/>
      <c r="AT120" s="205"/>
      <c r="AU120" s="205"/>
      <c r="AV120" s="481"/>
      <c r="AW120" s="205"/>
      <c r="AX120" s="205"/>
      <c r="AY120" s="205"/>
      <c r="AZ120" s="205"/>
      <c r="BA120" s="241"/>
      <c r="BB120" s="205"/>
      <c r="BC120" s="205"/>
      <c r="BD120" s="205"/>
      <c r="BE120" s="241"/>
      <c r="BF120" s="205"/>
      <c r="BG120" s="205"/>
      <c r="BH120" s="205"/>
      <c r="BI120" s="205"/>
      <c r="BJ120" s="205"/>
      <c r="BK120" s="205"/>
      <c r="BL120" s="205"/>
      <c r="BM120" s="205"/>
      <c r="BN120" s="205"/>
      <c r="BO120" s="205"/>
      <c r="BP120" s="205"/>
      <c r="BQ120" s="205"/>
      <c r="BR120" s="205"/>
      <c r="BS120" s="205"/>
      <c r="BT120" s="205"/>
      <c r="BU120" s="205"/>
      <c r="BV120" s="205"/>
      <c r="BW120" s="205"/>
      <c r="BX120" s="241"/>
      <c r="BY120" s="205"/>
      <c r="BZ120" s="205"/>
      <c r="CA120" s="205"/>
      <c r="CB120" s="241"/>
      <c r="CC120" s="205"/>
      <c r="CD120" s="205"/>
      <c r="CE120" s="205"/>
      <c r="CF120" s="205"/>
      <c r="CG120" s="205"/>
      <c r="CH120" s="205"/>
      <c r="CI120" s="205"/>
      <c r="CJ120" s="205"/>
      <c r="CK120" s="205"/>
      <c r="CL120" s="205"/>
      <c r="CM120" s="205"/>
      <c r="CN120" s="205"/>
      <c r="CO120" s="205"/>
      <c r="CP120" s="205"/>
      <c r="CQ120" s="205"/>
      <c r="CR120" s="205"/>
      <c r="CS120" s="205"/>
      <c r="CT120" s="205"/>
      <c r="CU120" s="205"/>
      <c r="CV120" s="205"/>
      <c r="CW120" s="205"/>
      <c r="CX120" s="205"/>
      <c r="CY120" s="205"/>
      <c r="CZ120" s="205"/>
      <c r="DA120" s="205"/>
      <c r="DB120" s="205"/>
      <c r="DC120" s="205"/>
      <c r="DD120" s="205"/>
      <c r="DE120" s="205"/>
      <c r="DF120" s="205"/>
      <c r="DG120" s="205"/>
      <c r="DH120" s="205"/>
      <c r="DI120" s="205"/>
      <c r="DJ120" s="205"/>
      <c r="DK120" s="2"/>
      <c r="DL120" s="2"/>
      <c r="DM120" s="2"/>
      <c r="DN120" s="2"/>
      <c r="DO120" s="2"/>
    </row>
    <row r="121" customFormat="false" ht="22.5" hidden="false" customHeight="false" outlineLevel="0" collapsed="false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205"/>
      <c r="AU121" s="205"/>
      <c r="AV121" s="239"/>
      <c r="AW121" s="205"/>
      <c r="AX121" s="205"/>
      <c r="AY121" s="205"/>
      <c r="AZ121" s="205"/>
      <c r="BA121" s="241"/>
      <c r="BB121" s="205"/>
      <c r="BC121" s="205"/>
      <c r="BD121" s="205"/>
      <c r="BE121" s="241"/>
      <c r="BF121" s="205"/>
      <c r="BG121" s="205"/>
      <c r="BH121" s="205"/>
      <c r="BI121" s="205"/>
      <c r="BJ121" s="205"/>
      <c r="BK121" s="205"/>
      <c r="BL121" s="205"/>
      <c r="BM121" s="205"/>
      <c r="BN121" s="205"/>
      <c r="BO121" s="205"/>
      <c r="BP121" s="205"/>
      <c r="BQ121" s="64"/>
      <c r="BR121" s="205"/>
      <c r="BS121" s="205"/>
      <c r="BT121" s="205"/>
      <c r="BU121" s="205"/>
      <c r="BV121" s="205"/>
      <c r="BW121" s="205"/>
      <c r="BX121" s="241"/>
      <c r="BY121" s="205"/>
      <c r="BZ121" s="205"/>
      <c r="CA121" s="205"/>
      <c r="CB121" s="241"/>
      <c r="CC121" s="205"/>
      <c r="CD121" s="205"/>
      <c r="CE121" s="205"/>
      <c r="CF121" s="205"/>
      <c r="CG121" s="205"/>
      <c r="CH121" s="205"/>
      <c r="CI121" s="205"/>
      <c r="CJ121" s="205"/>
      <c r="CK121" s="205"/>
      <c r="CL121" s="205"/>
      <c r="CM121" s="205"/>
      <c r="CN121" s="205"/>
      <c r="CO121" s="205"/>
      <c r="CP121" s="205"/>
      <c r="CQ121" s="205"/>
      <c r="CR121" s="205"/>
      <c r="CS121" s="205"/>
      <c r="CT121" s="205"/>
      <c r="CU121" s="205"/>
      <c r="CV121" s="205"/>
      <c r="CW121" s="205"/>
      <c r="CX121" s="205"/>
      <c r="CY121" s="205"/>
      <c r="CZ121" s="205"/>
      <c r="DA121" s="205"/>
      <c r="DB121" s="205"/>
      <c r="DC121" s="205"/>
      <c r="DD121" s="205"/>
      <c r="DE121" s="205"/>
      <c r="DF121" s="205"/>
      <c r="DG121" s="205"/>
      <c r="DH121" s="205"/>
      <c r="DI121" s="205"/>
      <c r="DJ121" s="205"/>
      <c r="DK121" s="64"/>
      <c r="DL121" s="64"/>
      <c r="DM121" s="64"/>
      <c r="DN121" s="64"/>
      <c r="DO121" s="64"/>
    </row>
    <row r="122" customFormat="false" ht="22.5" hidden="false" customHeight="false" outlineLevel="0" collapsed="false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77"/>
      <c r="X122" s="2"/>
      <c r="Z122" s="2"/>
      <c r="AA122" s="2"/>
      <c r="AB122" s="2"/>
      <c r="AC122" s="2"/>
      <c r="AF122" s="2"/>
      <c r="AG122" s="2"/>
      <c r="AI122" s="2"/>
      <c r="AJ122" s="2"/>
      <c r="AK122" s="2"/>
      <c r="AL122" s="2"/>
      <c r="AM122" s="2"/>
      <c r="AN122" s="2"/>
      <c r="AO122" s="2"/>
      <c r="AP122" s="2"/>
      <c r="AQ122" s="2"/>
      <c r="AT122" s="205"/>
      <c r="AU122" s="205"/>
      <c r="AV122" s="239"/>
      <c r="AW122" s="205"/>
      <c r="AX122" s="205"/>
      <c r="AY122" s="205"/>
      <c r="AZ122" s="205"/>
      <c r="BA122" s="241"/>
      <c r="BB122" s="205"/>
      <c r="BC122" s="205"/>
      <c r="BD122" s="205"/>
      <c r="BE122" s="241"/>
      <c r="BF122" s="205"/>
      <c r="BG122" s="205"/>
      <c r="BH122" s="205"/>
      <c r="BI122" s="205"/>
      <c r="BJ122" s="205"/>
      <c r="BK122" s="205"/>
      <c r="BL122" s="205"/>
      <c r="BM122" s="205"/>
      <c r="BN122" s="205"/>
      <c r="BO122" s="205"/>
      <c r="BP122" s="205"/>
      <c r="BQ122" s="482"/>
      <c r="BR122" s="205"/>
      <c r="BS122" s="205"/>
      <c r="BT122" s="205"/>
      <c r="BU122" s="205"/>
      <c r="BV122" s="205"/>
      <c r="BW122" s="205"/>
      <c r="BX122" s="241"/>
      <c r="BY122" s="205"/>
      <c r="BZ122" s="205"/>
      <c r="CA122" s="205"/>
      <c r="CB122" s="241"/>
      <c r="CC122" s="205"/>
      <c r="CD122" s="205"/>
      <c r="CE122" s="205"/>
      <c r="CF122" s="205"/>
      <c r="CG122" s="205"/>
      <c r="CH122" s="205"/>
      <c r="CI122" s="205"/>
      <c r="CJ122" s="205"/>
      <c r="CK122" s="205"/>
      <c r="CL122" s="205"/>
      <c r="CM122" s="205"/>
      <c r="CN122" s="64"/>
      <c r="CO122" s="205"/>
      <c r="CP122" s="205"/>
      <c r="CQ122" s="205"/>
      <c r="CR122" s="205"/>
      <c r="CS122" s="205"/>
      <c r="CT122" s="205"/>
      <c r="CU122" s="205"/>
      <c r="CV122" s="205"/>
      <c r="CW122" s="205"/>
      <c r="CX122" s="205"/>
      <c r="CY122" s="205"/>
      <c r="CZ122" s="205"/>
      <c r="DA122" s="205"/>
      <c r="DB122" s="205"/>
      <c r="DC122" s="205"/>
      <c r="DD122" s="205"/>
      <c r="DE122" s="205"/>
      <c r="DF122" s="205"/>
      <c r="DG122" s="205"/>
      <c r="DH122" s="205"/>
      <c r="DI122" s="205"/>
      <c r="DJ122" s="205"/>
      <c r="DK122" s="2"/>
      <c r="DL122" s="2"/>
      <c r="DM122" s="2"/>
      <c r="DN122" s="2"/>
      <c r="DO122" s="2"/>
    </row>
    <row r="123" customFormat="false" ht="22.5" hidden="false" customHeight="false" outlineLevel="0" collapsed="false">
      <c r="A123" s="64"/>
      <c r="B123" s="64"/>
      <c r="C123" s="64"/>
      <c r="D123" s="242"/>
      <c r="E123" s="242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205"/>
      <c r="X123" s="483"/>
      <c r="Y123" s="483"/>
      <c r="Z123" s="483"/>
      <c r="AA123" s="483"/>
      <c r="AB123" s="483"/>
      <c r="AC123" s="483"/>
      <c r="AD123" s="483"/>
      <c r="AE123" s="483"/>
      <c r="AF123" s="483"/>
      <c r="AG123" s="483"/>
      <c r="AH123" s="483"/>
      <c r="AI123" s="483"/>
      <c r="AJ123" s="483"/>
      <c r="AK123" s="483"/>
      <c r="AL123" s="483"/>
      <c r="AM123" s="483"/>
      <c r="AN123" s="483"/>
      <c r="AO123" s="483"/>
      <c r="AP123" s="483"/>
      <c r="AQ123" s="483"/>
      <c r="AR123" s="483"/>
      <c r="AS123" s="483"/>
      <c r="AT123" s="484"/>
      <c r="AU123" s="64"/>
      <c r="AV123" s="243"/>
      <c r="AW123" s="64"/>
      <c r="AX123" s="242"/>
      <c r="AY123" s="242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48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2"/>
      <c r="CO123" s="64"/>
      <c r="CP123" s="64"/>
      <c r="CQ123" s="64"/>
      <c r="CR123" s="242"/>
      <c r="CS123" s="242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483"/>
      <c r="DL123" s="483"/>
      <c r="DM123" s="483"/>
      <c r="DN123" s="483"/>
      <c r="DO123" s="483"/>
    </row>
    <row r="124" customFormat="false" ht="24.45" hidden="false" customHeight="false" outlineLevel="0" collapsed="false">
      <c r="A124" s="69" t="s">
        <v>34</v>
      </c>
      <c r="B124" s="70" t="s">
        <v>402</v>
      </c>
      <c r="C124" s="71" t="s">
        <v>30</v>
      </c>
      <c r="D124" s="72" t="n">
        <f aca="false">0.5*(L124+M124+N124)+O124+Q124+2*(R124+S124)</f>
        <v>4.5</v>
      </c>
      <c r="E124" s="73" t="n">
        <f aca="false">L124*0.5+M124*0.5+N124*0.5+O124+P124+Q124+2*(R124+S124+T124)</f>
        <v>6.5</v>
      </c>
      <c r="F124" s="70"/>
      <c r="G124" s="70"/>
      <c r="H124" s="70"/>
      <c r="I124" s="70"/>
      <c r="J124" s="70"/>
      <c r="K124" s="70"/>
      <c r="L124" s="74" t="n">
        <f aca="false">SUMIFS(L126:L135,C126:C135,C124)</f>
        <v>0</v>
      </c>
      <c r="M124" s="74" t="n">
        <f aca="false">SUMIFS(M126:M135,C126:C135,C124)</f>
        <v>1</v>
      </c>
      <c r="N124" s="74" t="n">
        <f aca="false">SUMIFS(N126:N135,C126:C135,C124)</f>
        <v>0</v>
      </c>
      <c r="O124" s="74" t="n">
        <f aca="false">SUMIFS(O126:O135,C126:C135,C124)</f>
        <v>1</v>
      </c>
      <c r="P124" s="74" t="n">
        <f aca="false">SUMIFS(P126:P135,C126:C135,C124)</f>
        <v>0</v>
      </c>
      <c r="Q124" s="74" t="n">
        <f aca="false">SUMIFS(Q126:Q135,C126:C135,C124)</f>
        <v>1</v>
      </c>
      <c r="R124" s="74" t="n">
        <f aca="false">SUMIFS(R126:R135,C126:C135,C124)</f>
        <v>0</v>
      </c>
      <c r="S124" s="74" t="n">
        <f aca="false">SUMIFS(S126:S135,C126:C135,C124)</f>
        <v>1</v>
      </c>
      <c r="T124" s="74" t="n">
        <f aca="false">SUMIFS(T126:T135,C126:C135,C124)</f>
        <v>1</v>
      </c>
      <c r="U124" s="75"/>
      <c r="V124" s="76" t="n">
        <f aca="false">SUM(U127:U153)</f>
        <v>11</v>
      </c>
      <c r="W124" s="205"/>
      <c r="AT124" s="2"/>
      <c r="AU124" s="69" t="s">
        <v>34</v>
      </c>
      <c r="AV124" s="70" t="s">
        <v>402</v>
      </c>
      <c r="AW124" s="71" t="s">
        <v>30</v>
      </c>
      <c r="AX124" s="72" t="n">
        <f aca="false">0.5*(BF124+BG124+BH124)+BI124+BK124+2*(BL124+BM124)</f>
        <v>12.5</v>
      </c>
      <c r="AY124" s="73" t="n">
        <f aca="false">BF124*0.5+BG124*0.5+BH124*0.5+BI124+BJ124+BK124+2*(BL124+BM124+BN124)</f>
        <v>15.5</v>
      </c>
      <c r="AZ124" s="70"/>
      <c r="BA124" s="70"/>
      <c r="BB124" s="70"/>
      <c r="BC124" s="70"/>
      <c r="BD124" s="70"/>
      <c r="BE124" s="70"/>
      <c r="BF124" s="74" t="n">
        <f aca="false">SUMIFS(BF126:BF149,AW126:AW149,AW124)</f>
        <v>0</v>
      </c>
      <c r="BG124" s="74" t="n">
        <f aca="false">SUMIFS(BG126:BG149,AW126:AW149,AW124)</f>
        <v>1</v>
      </c>
      <c r="BH124" s="74" t="n">
        <f aca="false">SUMIFS(BH126:BH149,AW126:AW149,AW124)</f>
        <v>0</v>
      </c>
      <c r="BI124" s="74" t="n">
        <f aca="false">SUMIFS(BI126:BI149,AW126:AW149,AW124)</f>
        <v>5</v>
      </c>
      <c r="BJ124" s="74" t="n">
        <f aca="false">SUMIFS(BJ126:BJ149,AW126:AW149,AW124)</f>
        <v>1</v>
      </c>
      <c r="BK124" s="74" t="n">
        <f aca="false">SUMIFS(BK126:BK149,AW126:AW149,AW124)</f>
        <v>3</v>
      </c>
      <c r="BL124" s="74" t="n">
        <f aca="false">SUMIFS(BL126:BL149,AW126:AW149,AW124)</f>
        <v>2</v>
      </c>
      <c r="BM124" s="74" t="n">
        <f aca="false">SUMIFS(BM126:BM149,AW126:AW149,AW124)</f>
        <v>0</v>
      </c>
      <c r="BN124" s="74" t="n">
        <f aca="false">SUMIFS(BN126:BN149,AW126:AW149,AW124)</f>
        <v>1</v>
      </c>
      <c r="BO124" s="75"/>
      <c r="BP124" s="76" t="n">
        <f aca="false">SUM(BO126:BO153)</f>
        <v>18</v>
      </c>
      <c r="BQ124" s="2"/>
      <c r="BR124" s="69" t="s">
        <v>34</v>
      </c>
      <c r="BS124" s="70" t="s">
        <v>403</v>
      </c>
      <c r="BT124" s="485" t="s">
        <v>30</v>
      </c>
      <c r="BU124" s="486" t="n">
        <f aca="false">0.5*(CC124+CD124+CE124)+CF124+CH124+2*(CI124+CJ124)</f>
        <v>0</v>
      </c>
      <c r="BV124" s="487" t="n">
        <f aca="false">CC124*0.5+CD124*0.5+CE124*0.5+CF124+CG124+CH124+2*(CI124+CJ124+CK124)</f>
        <v>0</v>
      </c>
      <c r="BW124" s="70"/>
      <c r="BX124" s="70"/>
      <c r="BY124" s="70"/>
      <c r="BZ124" s="70"/>
      <c r="CA124" s="70"/>
      <c r="CB124" s="70"/>
      <c r="CC124" s="74"/>
      <c r="CD124" s="74"/>
      <c r="CE124" s="74"/>
      <c r="CF124" s="74"/>
      <c r="CG124" s="74"/>
      <c r="CH124" s="74"/>
      <c r="CI124" s="74"/>
      <c r="CJ124" s="74"/>
      <c r="CK124" s="74"/>
      <c r="CL124" s="75"/>
      <c r="CM124" s="76" t="n">
        <f aca="false">SUM(CL126:CL138)</f>
        <v>13</v>
      </c>
      <c r="CN124" s="484"/>
      <c r="CO124" s="69" t="s">
        <v>28</v>
      </c>
      <c r="CP124" s="70"/>
      <c r="CQ124" s="71" t="s">
        <v>30</v>
      </c>
      <c r="CR124" s="72" t="e">
        <f aca="false">0.5*(CZ124+DA124+DB124)+DC124+DE124+2*(DF124+DG124)</f>
        <v>#VALUE!</v>
      </c>
      <c r="CS124" s="73" t="e">
        <f aca="false">CZ124*0.5+DA124*0.5+DB124*0.5+DC124+DD124+DE124+2*(DF124+DG124+DH124)</f>
        <v>#VALUE!</v>
      </c>
      <c r="CT124" s="70"/>
      <c r="CU124" s="70"/>
      <c r="CV124" s="70"/>
      <c r="CW124" s="70"/>
      <c r="CX124" s="70"/>
      <c r="CY124" s="70"/>
      <c r="CZ124" s="74" t="e">
        <f aca="false">SUMIFS(CZ140:CZ156,CQ140:CQ156,CQ124)</f>
        <v>#VALUE!</v>
      </c>
      <c r="DA124" s="74" t="e">
        <f aca="false">SUMIFS(DA140:DA156,CQ140:CQ156,CQ124)</f>
        <v>#VALUE!</v>
      </c>
      <c r="DB124" s="74" t="e">
        <f aca="false">SUMIFS(DB140:DB156,CQ140:CQ156,CQ124)</f>
        <v>#VALUE!</v>
      </c>
      <c r="DC124" s="74" t="e">
        <f aca="false">SUMIFS(DC140:DC156,CQ140:CQ156,CQ124)</f>
        <v>#VALUE!</v>
      </c>
      <c r="DD124" s="74" t="e">
        <f aca="false">SUMIFS(DD140:DD156,CQ140:CQ156,CQ124)</f>
        <v>#VALUE!</v>
      </c>
      <c r="DE124" s="74" t="e">
        <f aca="false">SUMIFS(DE140:DE156,CQ140:CQ156,CQ124)</f>
        <v>#VALUE!</v>
      </c>
      <c r="DF124" s="74" t="e">
        <f aca="false">SUMIFS(DF140:DF156,CQ140:CQ156,CQ124)</f>
        <v>#VALUE!</v>
      </c>
      <c r="DG124" s="74" t="e">
        <f aca="false">SUMIFS(DG140:DG156,CQ140:CQ156,CQ124)</f>
        <v>#VALUE!</v>
      </c>
      <c r="DH124" s="74" t="e">
        <f aca="false">SUMIFS(DH140:DH156,CQ140:CQ156,CQ124)</f>
        <v>#VALUE!</v>
      </c>
      <c r="DI124" s="75"/>
      <c r="DJ124" s="76" t="n">
        <f aca="false">SUM(DI140:DI153)</f>
        <v>0</v>
      </c>
    </row>
    <row r="125" customFormat="false" ht="24.45" hidden="false" customHeight="false" outlineLevel="0" collapsed="false">
      <c r="A125" s="69" t="s">
        <v>39</v>
      </c>
      <c r="B125" s="87"/>
      <c r="C125" s="71" t="s">
        <v>36</v>
      </c>
      <c r="D125" s="72" t="n">
        <f aca="false">0.5*(L125+M125+N125)+O125+Q125+2*(R125+S125)</f>
        <v>0</v>
      </c>
      <c r="E125" s="73" t="n">
        <f aca="false">L125*0.5+M125*0.5+N125*0.5+O125+P125+Q125+2*(R125+S125+T125)</f>
        <v>0</v>
      </c>
      <c r="F125" s="70"/>
      <c r="G125" s="70"/>
      <c r="H125" s="70"/>
      <c r="I125" s="70"/>
      <c r="J125" s="70"/>
      <c r="K125" s="70"/>
      <c r="L125" s="74" t="n">
        <f aca="false">SUMIFS(L126:L135,C126:C135,C125)</f>
        <v>0</v>
      </c>
      <c r="M125" s="74" t="n">
        <f aca="false">SUMIFS(M126:M135,C126:C135,C125)</f>
        <v>0</v>
      </c>
      <c r="N125" s="74" t="n">
        <f aca="false">SUMIFS(N126:N135,C126:C135,C125)</f>
        <v>0</v>
      </c>
      <c r="O125" s="74" t="n">
        <f aca="false">SUMIFS(O126:O135,C126:C135,C125)</f>
        <v>0</v>
      </c>
      <c r="P125" s="74" t="n">
        <f aca="false">SUMIFS(P126:P135,C126:C135,C125)</f>
        <v>0</v>
      </c>
      <c r="Q125" s="74" t="n">
        <f aca="false">SUMIFS(Q126:Q135,C126:C135,C125)</f>
        <v>0</v>
      </c>
      <c r="R125" s="74" t="n">
        <f aca="false">SUMIFS(R126:R135,C126:C135,C125)</f>
        <v>0</v>
      </c>
      <c r="S125" s="74" t="n">
        <f aca="false">SUMIFS(S126:S135,C126:C135,C125)</f>
        <v>0</v>
      </c>
      <c r="T125" s="74" t="n">
        <f aca="false">SUMIFS(T126:T135,C126:C135,C125)</f>
        <v>0</v>
      </c>
      <c r="U125" s="75"/>
      <c r="V125" s="76"/>
      <c r="W125" s="205"/>
      <c r="AT125" s="2"/>
      <c r="AU125" s="69" t="s">
        <v>39</v>
      </c>
      <c r="AV125" s="91"/>
      <c r="AW125" s="71" t="s">
        <v>36</v>
      </c>
      <c r="AX125" s="72" t="n">
        <f aca="false">0.5*(BF125+BG125+BH125)+BI125+BK125+2*(BL125+BM125)</f>
        <v>0</v>
      </c>
      <c r="AY125" s="73" t="n">
        <f aca="false">BF125*0.5+BG125*0.5+BH125*0.5+BI125+BJ125+BK125+2*(BL125+BM125+BN125)</f>
        <v>0</v>
      </c>
      <c r="AZ125" s="70"/>
      <c r="BA125" s="70"/>
      <c r="BB125" s="70"/>
      <c r="BC125" s="70"/>
      <c r="BD125" s="70"/>
      <c r="BE125" s="70"/>
      <c r="BF125" s="74" t="n">
        <f aca="false">SUMIFS(BF126:BF149,AW126:AW149,AW125)</f>
        <v>0</v>
      </c>
      <c r="BG125" s="74" t="n">
        <f aca="false">SUMIFS(BG126:BG149,AW126:AW149,AW125)</f>
        <v>0</v>
      </c>
      <c r="BH125" s="74" t="n">
        <f aca="false">SUMIFS(BH126:BH149,AW126:AW149,AW125)</f>
        <v>0</v>
      </c>
      <c r="BI125" s="74" t="n">
        <f aca="false">SUMIFS(BI126:BI149,AW126:AW149,AW125)</f>
        <v>0</v>
      </c>
      <c r="BJ125" s="74" t="n">
        <f aca="false">SUMIFS(BJ126:BJ149,AW126:AW149,AW125)</f>
        <v>0</v>
      </c>
      <c r="BK125" s="74" t="n">
        <f aca="false">SUMIFS(BK126:BK149,AW126:AW149,AW125)</f>
        <v>0</v>
      </c>
      <c r="BL125" s="74" t="n">
        <f aca="false">SUMIFS(BL126:BL149,AW126:AW149,AW125)</f>
        <v>0</v>
      </c>
      <c r="BM125" s="74" t="n">
        <f aca="false">SUMIFS(BM126:BM149,AW126:AW149,AW125)</f>
        <v>0</v>
      </c>
      <c r="BN125" s="74" t="n">
        <f aca="false">SUMIFS(BN126:BN149,AW126:AW149,AW125)</f>
        <v>0</v>
      </c>
      <c r="BO125" s="75"/>
      <c r="BP125" s="76"/>
      <c r="BQ125" s="205"/>
      <c r="BR125" s="69" t="s">
        <v>39</v>
      </c>
      <c r="BS125" s="70"/>
      <c r="BT125" s="485" t="s">
        <v>36</v>
      </c>
      <c r="BU125" s="486" t="n">
        <f aca="false">0.5*(CC125+CD125+CE125)+CF125+CH125+2*(CI125+CJ125)</f>
        <v>0</v>
      </c>
      <c r="BV125" s="487" t="n">
        <f aca="false">CC125*0.5+CD125*0.5+CE125*0.5+CF125+CG125+CH125+2*(CI125+CJ125+CK125)</f>
        <v>0</v>
      </c>
      <c r="BW125" s="488"/>
      <c r="BX125" s="489"/>
      <c r="BY125" s="490"/>
      <c r="BZ125" s="489"/>
      <c r="CA125" s="489"/>
      <c r="CB125" s="489"/>
      <c r="CC125" s="491"/>
      <c r="CD125" s="491"/>
      <c r="CE125" s="491"/>
      <c r="CF125" s="491"/>
      <c r="CG125" s="491"/>
      <c r="CH125" s="491"/>
      <c r="CI125" s="491"/>
      <c r="CJ125" s="491"/>
      <c r="CK125" s="491"/>
      <c r="CL125" s="75"/>
      <c r="CM125" s="76"/>
      <c r="CN125" s="205"/>
      <c r="CO125" s="69" t="s">
        <v>35</v>
      </c>
      <c r="CP125" s="70"/>
      <c r="CQ125" s="71" t="s">
        <v>36</v>
      </c>
      <c r="CR125" s="72" t="e">
        <f aca="false">0.5*(CZ125+DA125+DB125)+DC125+DE125+2*(DF125+DG125)</f>
        <v>#VALUE!</v>
      </c>
      <c r="CS125" s="73" t="e">
        <f aca="false">CZ125*0.5+DA125*0.5+DB125*0.5+DC125+DD125+DE125+2*(DF125+DG125+DH125)</f>
        <v>#VALUE!</v>
      </c>
      <c r="CT125" s="70"/>
      <c r="CU125" s="70"/>
      <c r="CV125" s="70"/>
      <c r="CW125" s="70"/>
      <c r="CX125" s="70"/>
      <c r="CY125" s="70"/>
      <c r="CZ125" s="74" t="e">
        <f aca="false">SUMIFS(CZ140:CZ156,CQ140:CQ156,CQ125)</f>
        <v>#VALUE!</v>
      </c>
      <c r="DA125" s="74" t="e">
        <f aca="false">SUMIFS(DA140:DA156,CQ140:CQ156,CQ125)</f>
        <v>#VALUE!</v>
      </c>
      <c r="DB125" s="74" t="e">
        <f aca="false">SUMIFS(DB140:DB156,CQ140:CQ156,CQ125)</f>
        <v>#VALUE!</v>
      </c>
      <c r="DC125" s="74" t="e">
        <f aca="false">SUMIFS(DC140:DC156,CQ140:CQ156,CQ125)</f>
        <v>#VALUE!</v>
      </c>
      <c r="DD125" s="74" t="e">
        <f aca="false">SUMIFS(DD140:DD156,CQ140:CQ156,CQ125)</f>
        <v>#VALUE!</v>
      </c>
      <c r="DE125" s="74" t="e">
        <f aca="false">SUMIFS(DE140:DE156,CQ140:CQ156,CQ125)</f>
        <v>#VALUE!</v>
      </c>
      <c r="DF125" s="74" t="e">
        <f aca="false">SUMIFS(DF140:DF156,CQ140:CQ156,CQ125)</f>
        <v>#VALUE!</v>
      </c>
      <c r="DG125" s="74" t="e">
        <f aca="false">SUMIFS(DG140:DG156,CQ140:CQ156,CQ125)</f>
        <v>#VALUE!</v>
      </c>
      <c r="DH125" s="74" t="e">
        <f aca="false">SUMIFS(DH140:DH156,CQ140:CQ156,CQ125)</f>
        <v>#VALUE!</v>
      </c>
      <c r="DI125" s="75"/>
      <c r="DJ125" s="76"/>
    </row>
    <row r="126" customFormat="false" ht="234" hidden="false" customHeight="true" outlineLevel="0" collapsed="false">
      <c r="A126" s="116" t="s">
        <v>49</v>
      </c>
      <c r="B126" s="127" t="s">
        <v>404</v>
      </c>
      <c r="C126" s="118" t="s">
        <v>30</v>
      </c>
      <c r="D126" s="118" t="n">
        <f aca="false">0.5*(L126+M126+N126)+O126+Q126+2*(R126+S126)</f>
        <v>3</v>
      </c>
      <c r="E126" s="118" t="n">
        <f aca="false">L126*0.5+M126*0.5+N126*0.5+O126+P126+Q126+2*(R126+S126+T126)</f>
        <v>3</v>
      </c>
      <c r="F126" s="108"/>
      <c r="G126" s="149" t="s">
        <v>42</v>
      </c>
      <c r="H126" s="103"/>
      <c r="I126" s="149"/>
      <c r="J126" s="119"/>
      <c r="K126" s="119" t="s">
        <v>405</v>
      </c>
      <c r="L126" s="121"/>
      <c r="M126" s="121"/>
      <c r="N126" s="99"/>
      <c r="O126" s="115"/>
      <c r="P126" s="121"/>
      <c r="Q126" s="256" t="n">
        <v>1</v>
      </c>
      <c r="R126" s="121"/>
      <c r="S126" s="101" t="n">
        <v>1</v>
      </c>
      <c r="T126" s="121"/>
      <c r="U126" s="108" t="n">
        <v>1</v>
      </c>
      <c r="V126" s="109"/>
      <c r="W126" s="205"/>
      <c r="AT126" s="2"/>
      <c r="AU126" s="116" t="s">
        <v>49</v>
      </c>
      <c r="AV126" s="279" t="s">
        <v>406</v>
      </c>
      <c r="AW126" s="118" t="s">
        <v>30</v>
      </c>
      <c r="AX126" s="118" t="n">
        <f aca="false">0.5*(BF126+BG126+BH126)+BI126+BK126+2*(BL126+BM126)</f>
        <v>2</v>
      </c>
      <c r="AY126" s="118" t="n">
        <f aca="false">BF126*0.5+BG126*0.5+BH126*0.5+BI126+BJ126+BK126+2*(BL126+BM126+BN126)</f>
        <v>3</v>
      </c>
      <c r="AZ126" s="7" t="e">
        <f aca="false">#VALUE!</f>
        <v>#VALUE!</v>
      </c>
      <c r="BA126" s="7" t="s">
        <v>42</v>
      </c>
      <c r="BB126" s="253" t="s">
        <v>105</v>
      </c>
      <c r="BC126" s="283" t="s">
        <v>48</v>
      </c>
      <c r="BD126" s="50"/>
      <c r="BE126" s="50" t="s">
        <v>234</v>
      </c>
      <c r="BI126" s="492" t="n">
        <v>2</v>
      </c>
      <c r="BJ126" s="493" t="n">
        <v>1</v>
      </c>
      <c r="BO126" s="108" t="n">
        <v>1</v>
      </c>
      <c r="BP126" s="109"/>
      <c r="BQ126" s="205"/>
      <c r="BR126" s="494" t="s">
        <v>403</v>
      </c>
      <c r="BS126" s="495" t="s">
        <v>407</v>
      </c>
      <c r="BT126" s="94" t="s">
        <v>30</v>
      </c>
      <c r="BU126" s="95" t="n">
        <f aca="false">0.5*(CC126+CD126+CE126)+CF126+CH126+2*(CI126+CJ126)</f>
        <v>8.5</v>
      </c>
      <c r="BV126" s="95" t="n">
        <f aca="false">CC126*0.5+CD126*0.5+CE126*0.5+CF126+CG126+CH126+2*(CI126+CJ126+CK126)</f>
        <v>8.5</v>
      </c>
      <c r="BW126" s="496"/>
      <c r="BX126" s="149" t="s">
        <v>51</v>
      </c>
      <c r="BY126" s="149"/>
      <c r="BZ126" s="107" t="s">
        <v>48</v>
      </c>
      <c r="CA126" s="185" t="s">
        <v>14</v>
      </c>
      <c r="CB126" s="497" t="s">
        <v>408</v>
      </c>
      <c r="CC126" s="121"/>
      <c r="CD126" s="121"/>
      <c r="CE126" s="346" t="n">
        <v>1</v>
      </c>
      <c r="CF126" s="121"/>
      <c r="CG126" s="121"/>
      <c r="CH126" s="346" t="n">
        <v>8</v>
      </c>
      <c r="CI126" s="121"/>
      <c r="CJ126" s="473"/>
      <c r="CK126" s="473"/>
      <c r="CL126" s="498" t="n">
        <v>1</v>
      </c>
      <c r="CM126" s="276"/>
      <c r="CN126" s="205"/>
      <c r="CO126" s="499" t="s">
        <v>409</v>
      </c>
      <c r="CP126" s="500" t="s">
        <v>410</v>
      </c>
      <c r="CQ126" s="118" t="s">
        <v>30</v>
      </c>
      <c r="CR126" s="95" t="n">
        <f aca="false">0.5*(CZ126+DA126+DB126)+DC126+DE126+2*(DF126+DG126)</f>
        <v>4</v>
      </c>
      <c r="CS126" s="95" t="n">
        <f aca="false">CZ126*0.5+DA126*0.5+DB126*0.5+DC126+DD126+DE126+2*(DF126+DG126+DH126)</f>
        <v>4</v>
      </c>
      <c r="CT126" s="501" t="e">
        <f aca="false">#VALUE!</f>
        <v>#VALUE!</v>
      </c>
      <c r="CU126" s="502" t="s">
        <v>51</v>
      </c>
      <c r="CV126" s="503"/>
      <c r="CW126" s="504" t="s">
        <v>48</v>
      </c>
      <c r="CX126" s="501"/>
      <c r="CY126" s="502" t="s">
        <v>256</v>
      </c>
      <c r="CZ126" s="505"/>
      <c r="DA126" s="505"/>
      <c r="DB126" s="505"/>
      <c r="DC126" s="506" t="n">
        <v>4</v>
      </c>
      <c r="DD126" s="505"/>
      <c r="DE126" s="505"/>
      <c r="DF126" s="505"/>
      <c r="DG126" s="505"/>
      <c r="DH126" s="507"/>
      <c r="DI126" s="508" t="n">
        <v>1</v>
      </c>
      <c r="DJ126" s="509" t="s">
        <v>411</v>
      </c>
      <c r="DK126" s="14"/>
      <c r="DL126" s="126"/>
    </row>
    <row r="127" customFormat="false" ht="233.25" hidden="false" customHeight="true" outlineLevel="0" collapsed="false">
      <c r="A127" s="116" t="s">
        <v>49</v>
      </c>
      <c r="B127" s="173" t="s">
        <v>412</v>
      </c>
      <c r="C127" s="118" t="s">
        <v>30</v>
      </c>
      <c r="D127" s="118" t="n">
        <f aca="false">0.5*(L127+M127+N127)+O127+Q127+2*(R127+S127)</f>
        <v>0.5</v>
      </c>
      <c r="E127" s="118" t="n">
        <f aca="false">L127*0.5+M127*0.5+N127*0.5+O127+P127+Q127+2*(R127+S127+T127)</f>
        <v>0.5</v>
      </c>
      <c r="F127" s="510"/>
      <c r="G127" s="7" t="s">
        <v>51</v>
      </c>
      <c r="H127" s="286"/>
      <c r="I127" s="286"/>
      <c r="J127" s="185" t="s">
        <v>14</v>
      </c>
      <c r="K127" s="50" t="s">
        <v>413</v>
      </c>
      <c r="L127" s="284"/>
      <c r="M127" s="256" t="n">
        <v>1</v>
      </c>
      <c r="N127" s="284"/>
      <c r="O127" s="284"/>
      <c r="P127" s="284"/>
      <c r="Q127" s="284"/>
      <c r="R127" s="284"/>
      <c r="S127" s="284"/>
      <c r="T127" s="284"/>
      <c r="U127" s="108" t="n">
        <v>1</v>
      </c>
      <c r="V127" s="109"/>
      <c r="W127" s="205"/>
      <c r="AT127" s="2"/>
      <c r="AU127" s="116" t="s">
        <v>49</v>
      </c>
      <c r="AV127" s="405" t="s">
        <v>414</v>
      </c>
      <c r="AW127" s="118" t="s">
        <v>30</v>
      </c>
      <c r="AX127" s="118" t="n">
        <f aca="false">0.5*(BF127+BG127+BH127)+BI127+BK127+2*(BL127+BM127)</f>
        <v>1</v>
      </c>
      <c r="AY127" s="118" t="n">
        <f aca="false">BF127*0.5+BG127*0.5+BH127*0.5+BI127+BJ127+BK127+2*(BL127+BM127+BN127)</f>
        <v>3</v>
      </c>
      <c r="AZ127" s="108"/>
      <c r="BA127" s="149" t="s">
        <v>42</v>
      </c>
      <c r="BB127" s="349"/>
      <c r="BC127" s="149"/>
      <c r="BD127" s="119"/>
      <c r="BE127" s="119" t="s">
        <v>415</v>
      </c>
      <c r="BF127" s="150"/>
      <c r="BG127" s="150"/>
      <c r="BH127" s="150"/>
      <c r="BI127" s="115"/>
      <c r="BJ127" s="150"/>
      <c r="BK127" s="256" t="n">
        <v>1</v>
      </c>
      <c r="BL127" s="150"/>
      <c r="BM127" s="150"/>
      <c r="BN127" s="101" t="n">
        <v>1</v>
      </c>
      <c r="BO127" s="108" t="n">
        <v>1</v>
      </c>
      <c r="BP127" s="151" t="s">
        <v>416</v>
      </c>
      <c r="BQ127" s="205"/>
      <c r="BR127" s="494" t="s">
        <v>403</v>
      </c>
      <c r="BS127" s="495" t="s">
        <v>417</v>
      </c>
      <c r="BT127" s="94" t="s">
        <v>30</v>
      </c>
      <c r="BU127" s="95" t="n">
        <f aca="false">0.5*(CC127+CD127+CE127)+CF127+CH127+2*(CI127+CJ127)</f>
        <v>1</v>
      </c>
      <c r="BV127" s="95" t="n">
        <f aca="false">CC127*0.5+CD127*0.5+CE127*0.5+CF127+CG127+CH127+2*(CI127+CJ127+CK127)</f>
        <v>1</v>
      </c>
      <c r="BW127" s="148"/>
      <c r="BX127" s="172" t="s">
        <v>51</v>
      </c>
      <c r="BY127" s="103"/>
      <c r="BZ127" s="172"/>
      <c r="CA127" s="172"/>
      <c r="CB127" s="497" t="s">
        <v>418</v>
      </c>
      <c r="CC127" s="473"/>
      <c r="CD127" s="511" t="n">
        <v>2</v>
      </c>
      <c r="CE127" s="473"/>
      <c r="CF127" s="473"/>
      <c r="CG127" s="473"/>
      <c r="CH127" s="473"/>
      <c r="CI127" s="473"/>
      <c r="CJ127" s="473"/>
      <c r="CK127" s="473"/>
      <c r="CL127" s="397" t="n">
        <v>1</v>
      </c>
      <c r="CM127" s="55"/>
      <c r="CN127" s="205"/>
      <c r="CO127" s="499" t="s">
        <v>409</v>
      </c>
      <c r="CP127" s="512" t="s">
        <v>419</v>
      </c>
      <c r="CQ127" s="118" t="s">
        <v>30</v>
      </c>
      <c r="CR127" s="95" t="n">
        <f aca="false">0.5*(CZ127+DA127+DB127)+DC127+DE127+2*(DF127+DG127)</f>
        <v>8</v>
      </c>
      <c r="CS127" s="95" t="n">
        <f aca="false">CZ127*0.5+DA127*0.5+DB127*0.5+DC127+DD127+DE127+2*(DF127+DG127+DH127)</f>
        <v>10</v>
      </c>
      <c r="CT127" s="513"/>
      <c r="CU127" s="502" t="s">
        <v>420</v>
      </c>
      <c r="CV127" s="514"/>
      <c r="CW127" s="504" t="s">
        <v>48</v>
      </c>
      <c r="CX127" s="515"/>
      <c r="CY127" s="516" t="s">
        <v>421</v>
      </c>
      <c r="CZ127" s="517"/>
      <c r="DA127" s="517"/>
      <c r="DB127" s="517"/>
      <c r="DC127" s="517"/>
      <c r="DD127" s="517"/>
      <c r="DE127" s="517"/>
      <c r="DF127" s="518" t="n">
        <v>4</v>
      </c>
      <c r="DG127" s="519"/>
      <c r="DH127" s="520" t="n">
        <v>1</v>
      </c>
      <c r="DI127" s="521" t="n">
        <v>1</v>
      </c>
      <c r="DJ127" s="509" t="s">
        <v>411</v>
      </c>
      <c r="DK127" s="14"/>
    </row>
    <row r="128" customFormat="false" ht="229.5" hidden="false" customHeight="true" outlineLevel="0" collapsed="false">
      <c r="A128" s="116" t="s">
        <v>49</v>
      </c>
      <c r="B128" s="127" t="s">
        <v>422</v>
      </c>
      <c r="C128" s="118" t="s">
        <v>30</v>
      </c>
      <c r="D128" s="95" t="n">
        <f aca="false">0.5*(L128+M128+N128)+O128+Q128+2*(R128+S128)</f>
        <v>0</v>
      </c>
      <c r="E128" s="95" t="n">
        <f aca="false">L128*0.5+M128*0.5+N128*0.5+O128+P128+Q128+2*(R128+S128+T128)</f>
        <v>0</v>
      </c>
      <c r="F128" s="7" t="e">
        <f aca="false">#VALUE!</f>
        <v>#VALUE!</v>
      </c>
      <c r="G128" s="7" t="s">
        <v>51</v>
      </c>
      <c r="H128" s="97"/>
      <c r="I128" s="283" t="s">
        <v>48</v>
      </c>
      <c r="J128" s="153"/>
      <c r="K128" s="114" t="s">
        <v>4</v>
      </c>
      <c r="L128" s="196"/>
      <c r="M128" s="99"/>
      <c r="N128" s="196"/>
      <c r="O128" s="196"/>
      <c r="P128" s="196"/>
      <c r="Q128" s="196"/>
      <c r="R128" s="196"/>
      <c r="S128" s="196"/>
      <c r="T128" s="196"/>
      <c r="U128" s="108" t="n">
        <v>1</v>
      </c>
      <c r="V128" s="109"/>
      <c r="W128" s="205"/>
      <c r="AT128" s="2"/>
      <c r="AU128" s="116" t="s">
        <v>49</v>
      </c>
      <c r="AV128" s="522" t="s">
        <v>423</v>
      </c>
      <c r="AW128" s="118" t="s">
        <v>30</v>
      </c>
      <c r="AX128" s="118" t="n">
        <f aca="false">0.5*(BF128+BG128+BH128)+BI128+BK128+2*(BL128+BM128)</f>
        <v>7</v>
      </c>
      <c r="AY128" s="118" t="n">
        <f aca="false">BF128*0.5+BG128*0.5+BH128*0.5+BI128+BJ128+BK128+2*(BL128+BM128+BN128)</f>
        <v>7</v>
      </c>
      <c r="AZ128" s="119" t="e">
        <f aca="false">#VALUE!</f>
        <v>#VALUE!</v>
      </c>
      <c r="BA128" s="149" t="s">
        <v>51</v>
      </c>
      <c r="BB128" s="103"/>
      <c r="BC128" s="283" t="s">
        <v>48</v>
      </c>
      <c r="BD128" s="50"/>
      <c r="BE128" s="119" t="s">
        <v>424</v>
      </c>
      <c r="BF128" s="149"/>
      <c r="BH128" s="149"/>
      <c r="BI128" s="523" t="n">
        <v>3</v>
      </c>
      <c r="BJ128" s="149"/>
      <c r="BK128" s="149"/>
      <c r="BL128" s="523" t="n">
        <v>2</v>
      </c>
      <c r="BM128" s="149"/>
      <c r="BN128" s="149"/>
      <c r="BO128" s="108" t="n">
        <v>1</v>
      </c>
      <c r="BP128" s="109"/>
      <c r="BQ128" s="205"/>
      <c r="BR128" s="494" t="s">
        <v>403</v>
      </c>
      <c r="BS128" s="147" t="s">
        <v>425</v>
      </c>
      <c r="BT128" s="94" t="s">
        <v>30</v>
      </c>
      <c r="BU128" s="118" t="n">
        <f aca="false">0.5*(CC128+CD128+CE128)+CF128+CH128+2*(CI128+CJ128)</f>
        <v>1</v>
      </c>
      <c r="BV128" s="118" t="n">
        <f aca="false">CC128*0.5+CD128*0.5+CE128*0.5+CF128+CG128+CH128+2*(CI128+CJ128+CK128)</f>
        <v>1</v>
      </c>
      <c r="BW128" s="524" t="s">
        <v>426</v>
      </c>
      <c r="BX128" s="524"/>
      <c r="BY128" s="524"/>
      <c r="BZ128" s="524"/>
      <c r="CA128" s="524"/>
      <c r="CB128" s="525" t="s">
        <v>427</v>
      </c>
      <c r="CC128" s="121"/>
      <c r="CD128" s="121"/>
      <c r="CE128" s="121"/>
      <c r="CF128" s="121"/>
      <c r="CG128" s="121"/>
      <c r="CH128" s="256" t="n">
        <v>1</v>
      </c>
      <c r="CI128" s="121"/>
      <c r="CJ128" s="121"/>
      <c r="CK128" s="121"/>
      <c r="CL128" s="145" t="n">
        <v>1</v>
      </c>
      <c r="CM128" s="194"/>
      <c r="CN128" s="205"/>
      <c r="CO128" s="499" t="s">
        <v>409</v>
      </c>
      <c r="CP128" s="526" t="s">
        <v>428</v>
      </c>
      <c r="CQ128" s="118" t="s">
        <v>30</v>
      </c>
      <c r="CR128" s="95" t="n">
        <f aca="false">0.5*(CZ128+DA128+DB128)+DC128+DE128+2*(DF128+DG128)</f>
        <v>0</v>
      </c>
      <c r="CS128" s="95" t="n">
        <f aca="false">CZ128*0.5+DA128*0.5+DB128*0.5+DC128+DD128+DE128+2*(DF128+DG128+DH128)</f>
        <v>0</v>
      </c>
      <c r="CT128" s="527"/>
      <c r="CU128" s="528" t="s">
        <v>70</v>
      </c>
      <c r="CV128" s="529"/>
      <c r="CW128" s="527"/>
      <c r="CX128" s="530"/>
      <c r="CY128" s="531" t="s">
        <v>429</v>
      </c>
      <c r="CZ128" s="532"/>
      <c r="DA128" s="532"/>
      <c r="DB128" s="532"/>
      <c r="DC128" s="532"/>
      <c r="DD128" s="532"/>
      <c r="DE128" s="532"/>
      <c r="DF128" s="532"/>
      <c r="DG128" s="532"/>
      <c r="DH128" s="505"/>
      <c r="DI128" s="533" t="n">
        <v>1</v>
      </c>
      <c r="DJ128" s="509" t="s">
        <v>411</v>
      </c>
      <c r="DK128" s="14"/>
    </row>
    <row r="129" customFormat="false" ht="225" hidden="false" customHeight="true" outlineLevel="0" collapsed="false">
      <c r="A129" s="116" t="s">
        <v>49</v>
      </c>
      <c r="B129" s="449" t="s">
        <v>430</v>
      </c>
      <c r="C129" s="429" t="s">
        <v>30</v>
      </c>
      <c r="D129" s="95" t="n">
        <f aca="false">0.5*(L129+M129+N129)+O129+Q129+2*(R129+S129)</f>
        <v>0</v>
      </c>
      <c r="E129" s="95" t="n">
        <f aca="false">L129*0.5+M129*0.5+N129*0.5+O129+P129+Q129+2*(R129+S129+T129)</f>
        <v>0</v>
      </c>
      <c r="F129" s="534"/>
      <c r="G129" s="172" t="s">
        <v>78</v>
      </c>
      <c r="H129" s="535"/>
      <c r="I129" s="536"/>
      <c r="J129" s="537"/>
      <c r="K129" s="538" t="s">
        <v>4</v>
      </c>
      <c r="L129" s="473"/>
      <c r="M129" s="473"/>
      <c r="N129" s="473"/>
      <c r="O129" s="473"/>
      <c r="P129" s="473"/>
      <c r="Q129" s="473"/>
      <c r="R129" s="473"/>
      <c r="S129" s="473"/>
      <c r="T129" s="473"/>
      <c r="U129" s="108" t="n">
        <v>1</v>
      </c>
      <c r="V129" s="109"/>
      <c r="W129" s="205"/>
      <c r="AT129" s="2"/>
      <c r="AU129" s="116" t="s">
        <v>49</v>
      </c>
      <c r="AV129" s="279" t="s">
        <v>431</v>
      </c>
      <c r="AW129" s="118" t="s">
        <v>30</v>
      </c>
      <c r="AX129" s="118" t="n">
        <f aca="false">0.5*(BF129+BG129+BH129)+BI129+BK129+2*(BL129+BM129)</f>
        <v>0</v>
      </c>
      <c r="AY129" s="118" t="n">
        <f aca="false">BF129*0.5+BG129*0.5+BH129*0.5+BI129+BJ129+BK129+2*(BL129+BM129+BN129)</f>
        <v>0</v>
      </c>
      <c r="AZ129" s="170"/>
      <c r="BA129" s="149" t="s">
        <v>42</v>
      </c>
      <c r="BB129" s="119"/>
      <c r="BC129" s="149"/>
      <c r="BD129" s="119"/>
      <c r="BE129" s="50" t="s">
        <v>432</v>
      </c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5" t="n">
        <v>1</v>
      </c>
      <c r="BP129" s="276"/>
      <c r="BQ129" s="205"/>
      <c r="BR129" s="494" t="s">
        <v>403</v>
      </c>
      <c r="BS129" s="147" t="s">
        <v>433</v>
      </c>
      <c r="BT129" s="94" t="s">
        <v>30</v>
      </c>
      <c r="BU129" s="118" t="n">
        <f aca="false">0.5*(CC129+CD129+CE129)+CF129+CH129+2*(CI129+CJ129)</f>
        <v>0</v>
      </c>
      <c r="BV129" s="118" t="n">
        <f aca="false">CC129*0.5+CD129*0.5+CE129*0.5+CF129+CG129+CH129+2*(CI129+CJ129+CK129)</f>
        <v>0</v>
      </c>
      <c r="BW129" s="170"/>
      <c r="BX129" s="7" t="s">
        <v>42</v>
      </c>
      <c r="BY129" s="149"/>
      <c r="BZ129" s="149"/>
      <c r="CA129" s="149"/>
      <c r="CB129" s="153" t="s">
        <v>88</v>
      </c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45" t="n">
        <v>1</v>
      </c>
      <c r="CM129" s="149"/>
      <c r="CN129" s="205"/>
      <c r="CO129" s="499" t="s">
        <v>409</v>
      </c>
      <c r="CP129" s="539" t="s">
        <v>434</v>
      </c>
      <c r="CQ129" s="118" t="s">
        <v>30</v>
      </c>
      <c r="CR129" s="95" t="n">
        <f aca="false">0.5*(CZ129+DA129+DB129)+DC129+DE129+2*(DF129+DG129)</f>
        <v>3</v>
      </c>
      <c r="CS129" s="95" t="n">
        <f aca="false">CZ129*0.5+DA129*0.5+DB129*0.5+DC129+DD129+DE129+2*(DF129+DG129+DH129)</f>
        <v>4</v>
      </c>
      <c r="CT129" s="540"/>
      <c r="CU129" s="528" t="s">
        <v>42</v>
      </c>
      <c r="CV129" s="540"/>
      <c r="CW129" s="541"/>
      <c r="CX129" s="542"/>
      <c r="CY129" s="543" t="s">
        <v>435</v>
      </c>
      <c r="CZ129" s="544"/>
      <c r="DA129" s="544"/>
      <c r="DB129" s="544"/>
      <c r="DC129" s="506" t="n">
        <v>1</v>
      </c>
      <c r="DD129" s="506" t="n">
        <v>1</v>
      </c>
      <c r="DE129" s="544"/>
      <c r="DF129" s="506" t="n">
        <v>1</v>
      </c>
      <c r="DG129" s="544"/>
      <c r="DH129" s="544"/>
      <c r="DI129" s="533" t="n">
        <v>1</v>
      </c>
      <c r="DJ129" s="509" t="s">
        <v>411</v>
      </c>
    </row>
    <row r="130" customFormat="false" ht="210" hidden="false" customHeight="true" outlineLevel="0" collapsed="false">
      <c r="A130" s="116" t="s">
        <v>49</v>
      </c>
      <c r="B130" s="173" t="s">
        <v>436</v>
      </c>
      <c r="C130" s="118" t="s">
        <v>30</v>
      </c>
      <c r="D130" s="118" t="n">
        <f aca="false">0.5*(L130+M130+N130)+O130+Q130+2*(R130+S130)</f>
        <v>0</v>
      </c>
      <c r="E130" s="118" t="n">
        <f aca="false">L130*0.5+M130*0.5+N130*0.5+O130+P130+Q130+2*(R130+S130+T130)</f>
        <v>0</v>
      </c>
      <c r="F130" s="545"/>
      <c r="G130" s="158" t="s">
        <v>65</v>
      </c>
      <c r="H130" s="159" t="s">
        <v>66</v>
      </c>
      <c r="I130" s="546"/>
      <c r="J130" s="546"/>
      <c r="K130" s="119" t="s">
        <v>437</v>
      </c>
      <c r="L130" s="547"/>
      <c r="M130" s="547"/>
      <c r="N130" s="547"/>
      <c r="O130" s="547"/>
      <c r="P130" s="547"/>
      <c r="Q130" s="547"/>
      <c r="R130" s="547"/>
      <c r="S130" s="547"/>
      <c r="T130" s="547"/>
      <c r="U130" s="108" t="n">
        <v>1</v>
      </c>
      <c r="V130" s="109"/>
      <c r="W130" s="205"/>
      <c r="AT130" s="2"/>
      <c r="AU130" s="116" t="s">
        <v>49</v>
      </c>
      <c r="AV130" s="279" t="s">
        <v>438</v>
      </c>
      <c r="AW130" s="118" t="s">
        <v>30</v>
      </c>
      <c r="AX130" s="118" t="n">
        <f aca="false">0.5*(BF130+BG130+BH130)+BI130+BK130+2*(BL130+BM130)</f>
        <v>0</v>
      </c>
      <c r="AY130" s="118" t="n">
        <f aca="false">BF130*0.5+BG130*0.5+BH130*0.5+BI130+BJ130+BK130+2*(BL130+BM130+BN130)</f>
        <v>0</v>
      </c>
      <c r="AZ130" s="548"/>
      <c r="BA130" s="7" t="s">
        <v>42</v>
      </c>
      <c r="BB130" s="153"/>
      <c r="BC130" s="103"/>
      <c r="BD130" s="51"/>
      <c r="BE130" s="50" t="s">
        <v>432</v>
      </c>
      <c r="BF130" s="99"/>
      <c r="BG130" s="99"/>
      <c r="BH130" s="99"/>
      <c r="BI130" s="99"/>
      <c r="BJ130" s="99"/>
      <c r="BK130" s="99"/>
      <c r="BL130" s="99"/>
      <c r="BM130" s="99"/>
      <c r="BN130" s="99"/>
      <c r="BO130" s="125" t="n">
        <v>1</v>
      </c>
      <c r="BP130" s="276"/>
      <c r="BQ130" s="205"/>
      <c r="BR130" s="494" t="s">
        <v>403</v>
      </c>
      <c r="BS130" s="147" t="s">
        <v>439</v>
      </c>
      <c r="BT130" s="94" t="s">
        <v>30</v>
      </c>
      <c r="BU130" s="118" t="n">
        <f aca="false">0.5*(CC130+CD130+CE130)+CF130+CH130+2*(CI130+CJ130)</f>
        <v>0</v>
      </c>
      <c r="BV130" s="118" t="n">
        <f aca="false">CC130*0.5+CD130*0.5+CE130*0.5+CF130+CG130+CH130+2*(CI130+CJ130+CK130)</f>
        <v>0</v>
      </c>
      <c r="BW130" s="170"/>
      <c r="BX130" s="149" t="s">
        <v>51</v>
      </c>
      <c r="BY130" s="119"/>
      <c r="BZ130" s="149"/>
      <c r="CA130" s="119"/>
      <c r="CB130" s="153" t="s">
        <v>88</v>
      </c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45" t="n">
        <v>1</v>
      </c>
      <c r="CM130" s="7"/>
      <c r="CN130" s="205"/>
      <c r="CO130" s="499" t="s">
        <v>409</v>
      </c>
      <c r="CP130" s="539" t="s">
        <v>440</v>
      </c>
      <c r="CQ130" s="118" t="s">
        <v>30</v>
      </c>
      <c r="CR130" s="95" t="n">
        <f aca="false">0.5*(CZ130+DA130+DB130)+DC130+DE130+2*(DF130+DG130)</f>
        <v>4</v>
      </c>
      <c r="CS130" s="95" t="n">
        <f aca="false">CZ130*0.5+DA130*0.5+DB130*0.5+DC130+DD130+DE130+2*(DF130+DG130+DH130)</f>
        <v>4</v>
      </c>
      <c r="CT130" s="540"/>
      <c r="CU130" s="528" t="s">
        <v>70</v>
      </c>
      <c r="CV130" s="549" t="s">
        <v>441</v>
      </c>
      <c r="CW130" s="541"/>
      <c r="CX130" s="550"/>
      <c r="CY130" s="543" t="s">
        <v>442</v>
      </c>
      <c r="CZ130" s="544"/>
      <c r="DA130" s="544"/>
      <c r="DB130" s="544"/>
      <c r="DC130" s="551"/>
      <c r="DD130" s="551"/>
      <c r="DE130" s="552"/>
      <c r="DF130" s="551"/>
      <c r="DG130" s="553" t="n">
        <v>2</v>
      </c>
      <c r="DH130" s="544"/>
      <c r="DI130" s="533" t="n">
        <v>1</v>
      </c>
      <c r="DJ130" s="509" t="s">
        <v>411</v>
      </c>
    </row>
    <row r="131" customFormat="false" ht="222.75" hidden="false" customHeight="true" outlineLevel="0" collapsed="false">
      <c r="A131" s="116" t="s">
        <v>49</v>
      </c>
      <c r="B131" s="173" t="s">
        <v>443</v>
      </c>
      <c r="C131" s="118" t="s">
        <v>30</v>
      </c>
      <c r="D131" s="118" t="n">
        <f aca="false">0.5*(L131+M131+N131)+O131+Q131+2*(R131+S131)</f>
        <v>0</v>
      </c>
      <c r="E131" s="118" t="n">
        <f aca="false">L131*0.5+M131*0.5+N131*0.5+O131+P131+Q131+2*(R131+S131+T131)</f>
        <v>0</v>
      </c>
      <c r="F131" s="96"/>
      <c r="G131" s="50" t="s">
        <v>42</v>
      </c>
      <c r="H131" s="7"/>
      <c r="I131" s="7"/>
      <c r="J131" s="50"/>
      <c r="K131" s="153" t="s">
        <v>444</v>
      </c>
      <c r="L131" s="129"/>
      <c r="M131" s="129"/>
      <c r="N131" s="129"/>
      <c r="O131" s="129"/>
      <c r="P131" s="129"/>
      <c r="Q131" s="129"/>
      <c r="R131" s="129"/>
      <c r="S131" s="129"/>
      <c r="T131" s="129"/>
      <c r="U131" s="108" t="n">
        <v>1</v>
      </c>
      <c r="V131" s="109"/>
      <c r="W131" s="205"/>
      <c r="AT131" s="2"/>
      <c r="AU131" s="116" t="s">
        <v>49</v>
      </c>
      <c r="AV131" s="279" t="s">
        <v>445</v>
      </c>
      <c r="AW131" s="118" t="s">
        <v>30</v>
      </c>
      <c r="AX131" s="118" t="n">
        <f aca="false">0.5*(BF131+BG131+BH131)+BI131+BK131+2*(BL131+BM131)</f>
        <v>0</v>
      </c>
      <c r="AY131" s="118" t="n">
        <f aca="false">BF131*0.5+BG131*0.5+BH131*0.5+BI131+BJ131+BK131+2*(BL131+BM131+BN131)</f>
        <v>0</v>
      </c>
      <c r="AZ131" s="548"/>
      <c r="BA131" s="7" t="s">
        <v>42</v>
      </c>
      <c r="BB131" s="153"/>
      <c r="BC131" s="149"/>
      <c r="BD131" s="50"/>
      <c r="BE131" s="50" t="s">
        <v>432</v>
      </c>
      <c r="BF131" s="99"/>
      <c r="BG131" s="99"/>
      <c r="BH131" s="99"/>
      <c r="BI131" s="99"/>
      <c r="BJ131" s="99"/>
      <c r="BK131" s="99"/>
      <c r="BL131" s="99"/>
      <c r="BM131" s="99"/>
      <c r="BN131" s="99"/>
      <c r="BO131" s="108" t="n">
        <v>1</v>
      </c>
      <c r="BP131" s="109"/>
      <c r="BQ131" s="205"/>
      <c r="BR131" s="494" t="s">
        <v>403</v>
      </c>
      <c r="BS131" s="147" t="s">
        <v>446</v>
      </c>
      <c r="BT131" s="94" t="s">
        <v>30</v>
      </c>
      <c r="BU131" s="118" t="n">
        <f aca="false">0.5*(CC131+CD131+CE131)+CF131+CH131+2*(CI131+CJ131)</f>
        <v>0</v>
      </c>
      <c r="BV131" s="118" t="n">
        <f aca="false">CC131*0.5+CD131*0.5+CE131*0.5+CF131+CG131+CH131+2*(CI131+CJ131+CK131)</f>
        <v>0</v>
      </c>
      <c r="BW131" s="149"/>
      <c r="BX131" s="149" t="s">
        <v>70</v>
      </c>
      <c r="BY131" s="119"/>
      <c r="BZ131" s="149"/>
      <c r="CA131" s="119"/>
      <c r="CB131" s="119" t="s">
        <v>278</v>
      </c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45" t="n">
        <v>1</v>
      </c>
      <c r="CM131" s="194"/>
      <c r="CN131" s="56"/>
      <c r="CO131" s="499" t="s">
        <v>409</v>
      </c>
      <c r="CP131" s="554" t="s">
        <v>447</v>
      </c>
      <c r="CQ131" s="118" t="s">
        <v>30</v>
      </c>
      <c r="CR131" s="95" t="n">
        <f aca="false">0.5*(CZ131+DA131+DB131)+DC131+DE131+2*(DF131+DG131)</f>
        <v>2.5</v>
      </c>
      <c r="CS131" s="95" t="n">
        <f aca="false">CZ131*0.5+DA131*0.5+DB131*0.5+DC131+DD131+DE131+2*(DF131+DG131+DH131)</f>
        <v>2.5</v>
      </c>
      <c r="CT131" s="555"/>
      <c r="CU131" s="528" t="s">
        <v>42</v>
      </c>
      <c r="CV131" s="543"/>
      <c r="CW131" s="349"/>
      <c r="CX131" s="349"/>
      <c r="CY131" s="556" t="s">
        <v>448</v>
      </c>
      <c r="CZ131" s="553" t="n">
        <v>1</v>
      </c>
      <c r="DA131" s="532"/>
      <c r="DB131" s="532"/>
      <c r="DC131" s="532"/>
      <c r="DD131" s="532"/>
      <c r="DE131" s="532"/>
      <c r="DF131" s="532"/>
      <c r="DG131" s="553" t="n">
        <v>1</v>
      </c>
      <c r="DH131" s="557"/>
      <c r="DI131" s="533" t="n">
        <v>1</v>
      </c>
      <c r="DJ131" s="509" t="s">
        <v>411</v>
      </c>
    </row>
    <row r="132" customFormat="false" ht="223.5" hidden="false" customHeight="true" outlineLevel="0" collapsed="false">
      <c r="A132" s="116" t="s">
        <v>49</v>
      </c>
      <c r="B132" s="173" t="s">
        <v>449</v>
      </c>
      <c r="C132" s="118" t="s">
        <v>30</v>
      </c>
      <c r="D132" s="118" t="n">
        <f aca="false">0.5*(L132+M132+N132)+O132+Q132+2*(R132+S132)</f>
        <v>0</v>
      </c>
      <c r="E132" s="118" t="n">
        <f aca="false">L132*0.5+M132*0.5+N132*0.5+O132+P132+Q132+2*(R132+S132+T132)</f>
        <v>0</v>
      </c>
      <c r="F132" s="108"/>
      <c r="G132" s="149" t="s">
        <v>42</v>
      </c>
      <c r="H132" s="119"/>
      <c r="I132" s="149"/>
      <c r="J132" s="119"/>
      <c r="K132" s="119" t="s">
        <v>450</v>
      </c>
      <c r="L132" s="121"/>
      <c r="M132" s="121"/>
      <c r="N132" s="121"/>
      <c r="O132" s="121"/>
      <c r="P132" s="121"/>
      <c r="Q132" s="121"/>
      <c r="R132" s="121"/>
      <c r="S132" s="121"/>
      <c r="T132" s="121"/>
      <c r="U132" s="108" t="n">
        <v>1</v>
      </c>
      <c r="V132" s="109"/>
      <c r="W132" s="205"/>
      <c r="AT132" s="2"/>
      <c r="AU132" s="116" t="s">
        <v>49</v>
      </c>
      <c r="AV132" s="279" t="s">
        <v>451</v>
      </c>
      <c r="AW132" s="118" t="s">
        <v>30</v>
      </c>
      <c r="AX132" s="118" t="n">
        <f aca="false">0.5*(BF132+BG132+BH132)+BI132+BK132+2*(BL132+BM132)</f>
        <v>0</v>
      </c>
      <c r="AY132" s="118" t="n">
        <f aca="false">BF132*0.5+BG132*0.5+BH132*0.5+BI132+BJ132+BK132+2*(BL132+BM132+BN132)</f>
        <v>0</v>
      </c>
      <c r="AZ132" s="170"/>
      <c r="BA132" s="149" t="s">
        <v>42</v>
      </c>
      <c r="BB132" s="119"/>
      <c r="BC132" s="149"/>
      <c r="BD132" s="119"/>
      <c r="BE132" s="50" t="s">
        <v>432</v>
      </c>
      <c r="BF132" s="121"/>
      <c r="BG132" s="121"/>
      <c r="BH132" s="121"/>
      <c r="BI132" s="121"/>
      <c r="BJ132" s="121"/>
      <c r="BK132" s="121"/>
      <c r="BL132" s="121"/>
      <c r="BM132" s="121"/>
      <c r="BN132" s="558"/>
      <c r="BO132" s="108" t="n">
        <v>1</v>
      </c>
      <c r="BP132" s="109"/>
      <c r="BQ132" s="205"/>
      <c r="BR132" s="494" t="s">
        <v>403</v>
      </c>
      <c r="BS132" s="147" t="s">
        <v>452</v>
      </c>
      <c r="BT132" s="94" t="s">
        <v>30</v>
      </c>
      <c r="BU132" s="118" t="n">
        <f aca="false">0.5*(CC132+CD132+CE132)+CF132+CH132+2*(CI132+CJ132)</f>
        <v>0</v>
      </c>
      <c r="BV132" s="118" t="n">
        <f aca="false">CC132*0.5+CD132*0.5+CE132*0.5+CF132+CG132+CH132+2*(CI132+CJ132+CK132)</f>
        <v>0</v>
      </c>
      <c r="BW132" s="559" t="s">
        <v>426</v>
      </c>
      <c r="BX132" s="559"/>
      <c r="BY132" s="559"/>
      <c r="BZ132" s="559"/>
      <c r="CA132" s="559"/>
      <c r="CB132" s="559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45" t="n">
        <v>1</v>
      </c>
      <c r="CM132" s="194"/>
      <c r="CN132" s="56"/>
      <c r="CO132" s="499" t="s">
        <v>409</v>
      </c>
      <c r="CP132" s="554" t="s">
        <v>447</v>
      </c>
      <c r="CQ132" s="118" t="s">
        <v>30</v>
      </c>
      <c r="CR132" s="95" t="n">
        <f aca="false">0.5*(CZ132+DA132+DB132)+DC132+DE132+2*(DF132+DG132)</f>
        <v>2</v>
      </c>
      <c r="CS132" s="95" t="n">
        <f aca="false">CZ132*0.5+DA132*0.5+DB132*0.5+DC132+DD132+DE132+2*(DF132+DG132+DH132)</f>
        <v>2</v>
      </c>
      <c r="CT132" s="555"/>
      <c r="CU132" s="528" t="s">
        <v>70</v>
      </c>
      <c r="CV132" s="549" t="s">
        <v>453</v>
      </c>
      <c r="CW132" s="349"/>
      <c r="CX132" s="349"/>
      <c r="CY132" s="531" t="s">
        <v>454</v>
      </c>
      <c r="CZ132" s="532"/>
      <c r="DA132" s="532"/>
      <c r="DB132" s="532"/>
      <c r="DC132" s="532"/>
      <c r="DD132" s="532"/>
      <c r="DE132" s="560" t="n">
        <v>2</v>
      </c>
      <c r="DF132" s="532"/>
      <c r="DG132" s="532"/>
      <c r="DH132" s="532"/>
      <c r="DI132" s="533" t="n">
        <v>0</v>
      </c>
      <c r="DJ132" s="509" t="s">
        <v>411</v>
      </c>
    </row>
    <row r="133" customFormat="false" ht="205.5" hidden="false" customHeight="true" outlineLevel="0" collapsed="false">
      <c r="A133" s="116" t="s">
        <v>49</v>
      </c>
      <c r="B133" s="173" t="s">
        <v>455</v>
      </c>
      <c r="C133" s="118" t="s">
        <v>30</v>
      </c>
      <c r="D133" s="118" t="n">
        <f aca="false">0.5*(L133+M133+N133)+O133+Q133+2*(R133+S133)</f>
        <v>0</v>
      </c>
      <c r="E133" s="118" t="n">
        <f aca="false">L133*0.5+M133*0.5+N133*0.5+O133+P133+Q133+2*(R133+S133+T133)</f>
        <v>0</v>
      </c>
      <c r="F133" s="108"/>
      <c r="G133" s="158" t="s">
        <v>65</v>
      </c>
      <c r="H133" s="159" t="s">
        <v>66</v>
      </c>
      <c r="I133" s="149"/>
      <c r="J133" s="119"/>
      <c r="K133" s="149" t="s">
        <v>157</v>
      </c>
      <c r="L133" s="150"/>
      <c r="M133" s="150"/>
      <c r="N133" s="150"/>
      <c r="O133" s="150"/>
      <c r="P133" s="150"/>
      <c r="Q133" s="150"/>
      <c r="R133" s="150"/>
      <c r="S133" s="150"/>
      <c r="T133" s="150"/>
      <c r="U133" s="108" t="n">
        <v>1</v>
      </c>
      <c r="V133" s="109"/>
      <c r="W133" s="205"/>
      <c r="AT133" s="2"/>
      <c r="AU133" s="116" t="s">
        <v>49</v>
      </c>
      <c r="AV133" s="279" t="s">
        <v>456</v>
      </c>
      <c r="AW133" s="118" t="s">
        <v>30</v>
      </c>
      <c r="AX133" s="118" t="n">
        <f aca="false">0.5*(BF133+BG133+BH133)+BI133+BK133+2*(BL133+BM133)</f>
        <v>0</v>
      </c>
      <c r="AY133" s="118" t="n">
        <f aca="false">BF133*0.5+BG133*0.5+BH133*0.5+BI133+BJ133+BK133+2*(BL133+BM133+BN133)</f>
        <v>0</v>
      </c>
      <c r="AZ133" s="164"/>
      <c r="BA133" s="7" t="s">
        <v>42</v>
      </c>
      <c r="BC133" s="103"/>
      <c r="BD133" s="50"/>
      <c r="BE133" s="50" t="s">
        <v>432</v>
      </c>
      <c r="BF133" s="99"/>
      <c r="BG133" s="99"/>
      <c r="BH133" s="99"/>
      <c r="BI133" s="99"/>
      <c r="BJ133" s="99"/>
      <c r="BK133" s="99"/>
      <c r="BL133" s="99"/>
      <c r="BM133" s="99"/>
      <c r="BN133" s="99"/>
      <c r="BO133" s="108" t="n">
        <v>1</v>
      </c>
      <c r="BP133" s="109"/>
      <c r="BQ133" s="205"/>
      <c r="BR133" s="494" t="s">
        <v>403</v>
      </c>
      <c r="BS133" s="147" t="s">
        <v>457</v>
      </c>
      <c r="BT133" s="94" t="s">
        <v>30</v>
      </c>
      <c r="BU133" s="118" t="n">
        <f aca="false">0.5*(CC133+CD133+CE133)+CF133+CH133+2*(CI133+CJ133)</f>
        <v>0</v>
      </c>
      <c r="BV133" s="118" t="n">
        <f aca="false">CC133*0.5+CD133*0.5+CE133*0.5+CF133+CG133+CH133+2*(CI133+CJ133+CK133)</f>
        <v>0</v>
      </c>
      <c r="BW133" s="149"/>
      <c r="BX133" s="149" t="s">
        <v>42</v>
      </c>
      <c r="BY133" s="119"/>
      <c r="BZ133" s="103"/>
      <c r="CA133" s="392" t="s">
        <v>14</v>
      </c>
      <c r="CB133" s="119" t="s">
        <v>458</v>
      </c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45" t="n">
        <v>1</v>
      </c>
      <c r="CM133" s="194"/>
      <c r="CN133" s="56"/>
      <c r="CO133" s="499" t="s">
        <v>409</v>
      </c>
      <c r="CP133" s="539" t="s">
        <v>459</v>
      </c>
      <c r="CQ133" s="118" t="s">
        <v>30</v>
      </c>
      <c r="CR133" s="95" t="n">
        <f aca="false">0.5*(CZ133+DA133+DB133)+DC133+DE133+2*(DF133+DG133)</f>
        <v>1</v>
      </c>
      <c r="CS133" s="95" t="n">
        <f aca="false">CZ133*0.5+DA133*0.5+DB133*0.5+DC133+DD133+DE133+2*(DF133+DG133+DH133)</f>
        <v>1</v>
      </c>
      <c r="CT133" s="561" t="e">
        <f aca="false">#VALUE!</f>
        <v>#VALUE!</v>
      </c>
      <c r="CU133" s="562" t="s">
        <v>70</v>
      </c>
      <c r="CV133" s="563"/>
      <c r="CW133" s="541"/>
      <c r="CX133" s="550"/>
      <c r="CY133" s="543" t="s">
        <v>460</v>
      </c>
      <c r="CZ133" s="544"/>
      <c r="DA133" s="544"/>
      <c r="DB133" s="544"/>
      <c r="DC133" s="544"/>
      <c r="DD133" s="544"/>
      <c r="DE133" s="518" t="n">
        <v>1</v>
      </c>
      <c r="DF133" s="544"/>
      <c r="DG133" s="544"/>
      <c r="DH133" s="544"/>
      <c r="DI133" s="533" t="n">
        <v>1</v>
      </c>
      <c r="DJ133" s="509" t="s">
        <v>411</v>
      </c>
    </row>
    <row r="134" customFormat="false" ht="198.75" hidden="false" customHeight="true" outlineLevel="0" collapsed="false">
      <c r="A134" s="116" t="s">
        <v>49</v>
      </c>
      <c r="B134" s="564" t="s">
        <v>461</v>
      </c>
      <c r="C134" s="118" t="s">
        <v>30</v>
      </c>
      <c r="D134" s="118" t="n">
        <f aca="false">0.5*(L134+M134+N134)+O134+Q134+2*(R134+S134)</f>
        <v>1</v>
      </c>
      <c r="E134" s="118" t="n">
        <f aca="false">L134*0.5+M134*0.5+N134*0.5+O134+P134+Q134+2*(R134+S134+T134)</f>
        <v>3</v>
      </c>
      <c r="F134" s="286" t="e">
        <f aca="false">#VALUE!</f>
        <v>#VALUE!</v>
      </c>
      <c r="G134" s="565" t="s">
        <v>426</v>
      </c>
      <c r="H134" s="565"/>
      <c r="I134" s="565"/>
      <c r="J134" s="565"/>
      <c r="K134" s="565"/>
      <c r="L134" s="284"/>
      <c r="M134" s="284"/>
      <c r="N134" s="284"/>
      <c r="O134" s="358" t="n">
        <v>1</v>
      </c>
      <c r="P134" s="284"/>
      <c r="Q134" s="284"/>
      <c r="R134" s="284"/>
      <c r="S134" s="284"/>
      <c r="T134" s="101" t="n">
        <v>1</v>
      </c>
      <c r="U134" s="108" t="n">
        <v>1</v>
      </c>
      <c r="V134" s="151" t="s">
        <v>61</v>
      </c>
      <c r="W134" s="205"/>
      <c r="AT134" s="2"/>
      <c r="AU134" s="116" t="s">
        <v>49</v>
      </c>
      <c r="AV134" s="279" t="s">
        <v>462</v>
      </c>
      <c r="AW134" s="118" t="s">
        <v>30</v>
      </c>
      <c r="AX134" s="95" t="n">
        <f aca="false">0.5*(BF134+BG134+BH134)+BI134+BK134+2*(BL134+BM134)</f>
        <v>0</v>
      </c>
      <c r="AY134" s="95" t="n">
        <f aca="false">BF134*0.5+BG134*0.5+BH134*0.5+BI134+BJ134+BK134+2*(BL134+BM134+BN134)</f>
        <v>0</v>
      </c>
      <c r="AZ134" s="170"/>
      <c r="BA134" s="149" t="s">
        <v>42</v>
      </c>
      <c r="BB134" s="119"/>
      <c r="BC134" s="103"/>
      <c r="BD134" s="119"/>
      <c r="BE134" s="50" t="s">
        <v>463</v>
      </c>
      <c r="BF134" s="121"/>
      <c r="BG134" s="121"/>
      <c r="BH134" s="121"/>
      <c r="BI134" s="121"/>
      <c r="BJ134" s="121"/>
      <c r="BK134" s="121"/>
      <c r="BL134" s="121"/>
      <c r="BM134" s="121"/>
      <c r="BN134" s="121"/>
      <c r="BO134" s="108" t="n">
        <v>1</v>
      </c>
      <c r="BP134" s="151" t="s">
        <v>61</v>
      </c>
      <c r="BQ134" s="205"/>
      <c r="BR134" s="494" t="s">
        <v>403</v>
      </c>
      <c r="BS134" s="147" t="s">
        <v>464</v>
      </c>
      <c r="BT134" s="94" t="s">
        <v>30</v>
      </c>
      <c r="BU134" s="118" t="n">
        <f aca="false">0.5*(CC134+CD134+CE134)+CF134+CH134+2*(CI134+CJ134)</f>
        <v>0</v>
      </c>
      <c r="BV134" s="118" t="n">
        <f aca="false">CC134*0.5+CD134*0.5+CE134*0.5+CF134+CG134+CH134+2*(CI134+CJ134+CK134)</f>
        <v>0</v>
      </c>
      <c r="BW134" s="170"/>
      <c r="BX134" s="149" t="s">
        <v>42</v>
      </c>
      <c r="BY134" s="119"/>
      <c r="BZ134" s="149"/>
      <c r="CA134" s="119"/>
      <c r="CB134" s="153" t="s">
        <v>88</v>
      </c>
      <c r="CC134" s="121"/>
      <c r="CD134" s="121"/>
      <c r="CE134" s="121"/>
      <c r="CF134" s="121"/>
      <c r="CG134" s="121"/>
      <c r="CH134" s="121"/>
      <c r="CI134" s="121"/>
      <c r="CJ134" s="121"/>
      <c r="CK134" s="121"/>
      <c r="CL134" s="145" t="n">
        <v>1</v>
      </c>
      <c r="CM134" s="194"/>
      <c r="CN134" s="56"/>
      <c r="CO134" s="499" t="s">
        <v>409</v>
      </c>
      <c r="CP134" s="566" t="s">
        <v>465</v>
      </c>
      <c r="CQ134" s="118" t="s">
        <v>30</v>
      </c>
      <c r="CR134" s="95" t="n">
        <f aca="false">0.5*(CZ134+DA134+DB134)+DC134+DE134+2*(DF134+DG134)</f>
        <v>0</v>
      </c>
      <c r="CS134" s="95" t="n">
        <f aca="false">CZ134*0.5+DA134*0.5+DB134*0.5+DC134+DD134+DE134+2*(DF134+DG134+DH134)</f>
        <v>0</v>
      </c>
      <c r="CT134" s="567"/>
      <c r="CU134" s="568" t="s">
        <v>78</v>
      </c>
      <c r="CV134" s="569"/>
      <c r="CW134" s="570"/>
      <c r="CX134" s="571"/>
      <c r="CY134" s="531" t="s">
        <v>466</v>
      </c>
      <c r="CZ134" s="572"/>
      <c r="DA134" s="572"/>
      <c r="DB134" s="572"/>
      <c r="DC134" s="572"/>
      <c r="DD134" s="572"/>
      <c r="DE134" s="572"/>
      <c r="DF134" s="572"/>
      <c r="DG134" s="572"/>
      <c r="DH134" s="572"/>
      <c r="DI134" s="533" t="n">
        <v>0</v>
      </c>
      <c r="DJ134" s="509" t="s">
        <v>411</v>
      </c>
    </row>
    <row r="135" customFormat="false" ht="227.25" hidden="false" customHeight="true" outlineLevel="0" collapsed="false">
      <c r="A135" s="268" t="s">
        <v>129</v>
      </c>
      <c r="B135" s="573" t="s">
        <v>467</v>
      </c>
      <c r="C135" s="574" t="s">
        <v>30</v>
      </c>
      <c r="D135" s="575" t="n">
        <f aca="false">0.5*(L135+M135+N135)+O135+Q135+2*(R135+S135)</f>
        <v>0</v>
      </c>
      <c r="E135" s="575" t="n">
        <f aca="false">L135*0.5+M135*0.5+N135*0.5+O135+P135+Q135+2*(R135+S135+T135)</f>
        <v>0</v>
      </c>
      <c r="F135" s="559" t="s">
        <v>426</v>
      </c>
      <c r="G135" s="559"/>
      <c r="H135" s="559"/>
      <c r="I135" s="559"/>
      <c r="J135" s="559"/>
      <c r="K135" s="559"/>
      <c r="L135" s="424"/>
      <c r="M135" s="424"/>
      <c r="N135" s="424"/>
      <c r="O135" s="424"/>
      <c r="P135" s="424"/>
      <c r="Q135" s="424"/>
      <c r="R135" s="424"/>
      <c r="S135" s="424"/>
      <c r="T135" s="424"/>
      <c r="U135" s="108" t="n">
        <v>1</v>
      </c>
      <c r="V135" s="109"/>
      <c r="W135" s="205"/>
      <c r="AT135" s="2"/>
      <c r="AU135" s="116" t="s">
        <v>49</v>
      </c>
      <c r="AV135" s="279" t="s">
        <v>468</v>
      </c>
      <c r="AW135" s="118" t="s">
        <v>30</v>
      </c>
      <c r="AX135" s="95" t="n">
        <f aca="false">0.5*(BF135+BG135+BH135)+BI135+BK135+2*(BL135+BM135)</f>
        <v>0</v>
      </c>
      <c r="AY135" s="95" t="n">
        <f aca="false">BF135*0.5+BG135*0.5+BH135*0.5+BI135+BJ135+BK135+2*(BL135+BM135+BN135)</f>
        <v>0</v>
      </c>
      <c r="AZ135" s="170"/>
      <c r="BA135" s="7" t="s">
        <v>70</v>
      </c>
      <c r="BB135" s="153"/>
      <c r="BC135" s="103"/>
      <c r="BD135" s="50"/>
      <c r="BE135" s="50" t="s">
        <v>463</v>
      </c>
      <c r="BF135" s="99"/>
      <c r="BG135" s="99"/>
      <c r="BH135" s="99"/>
      <c r="BI135" s="99"/>
      <c r="BJ135" s="99"/>
      <c r="BK135" s="99"/>
      <c r="BL135" s="99"/>
      <c r="BM135" s="99"/>
      <c r="BN135" s="99"/>
      <c r="BO135" s="108" t="n">
        <v>1</v>
      </c>
      <c r="BP135" s="151" t="s">
        <v>61</v>
      </c>
      <c r="BQ135" s="205"/>
      <c r="BR135" s="494" t="s">
        <v>403</v>
      </c>
      <c r="BS135" s="147" t="s">
        <v>469</v>
      </c>
      <c r="BT135" s="94" t="s">
        <v>30</v>
      </c>
      <c r="BU135" s="118" t="n">
        <f aca="false">0.5*(CC135+CD135+CE135)+CF135+CH135+2*(CI135+CJ135)</f>
        <v>0</v>
      </c>
      <c r="BV135" s="118" t="n">
        <f aca="false">CC135*0.5+CD135*0.5+CE135*0.5+CF135+CG135+CH135+2*(CI135+CJ135+CK135)</f>
        <v>0</v>
      </c>
      <c r="BW135" s="170"/>
      <c r="BX135" s="158" t="s">
        <v>65</v>
      </c>
      <c r="BY135" s="159" t="s">
        <v>66</v>
      </c>
      <c r="BZ135" s="149"/>
      <c r="CA135" s="119"/>
      <c r="CB135" s="153" t="s">
        <v>88</v>
      </c>
      <c r="CC135" s="129"/>
      <c r="CD135" s="129"/>
      <c r="CE135" s="129"/>
      <c r="CF135" s="129"/>
      <c r="CG135" s="129"/>
      <c r="CH135" s="129"/>
      <c r="CI135" s="129"/>
      <c r="CJ135" s="129"/>
      <c r="CK135" s="129"/>
      <c r="CL135" s="145" t="n">
        <v>1</v>
      </c>
      <c r="CM135" s="194"/>
      <c r="CN135" s="56"/>
      <c r="CO135" s="499" t="s">
        <v>409</v>
      </c>
      <c r="CP135" s="566" t="s">
        <v>470</v>
      </c>
      <c r="CQ135" s="118" t="s">
        <v>30</v>
      </c>
      <c r="CR135" s="95" t="n">
        <f aca="false">0.5*(CZ135+DA135+DB135)+DC135+DE135+2*(DF135+DG135)</f>
        <v>0.5</v>
      </c>
      <c r="CS135" s="95" t="n">
        <f aca="false">CZ135*0.5+DA135*0.5+DB135*0.5+DC135+DD135+DE135+2*(DF135+DG135+DH135)</f>
        <v>0.5</v>
      </c>
      <c r="CT135" s="567"/>
      <c r="CU135" s="568" t="s">
        <v>51</v>
      </c>
      <c r="CV135" s="576"/>
      <c r="CW135" s="570"/>
      <c r="CX135" s="577"/>
      <c r="CY135" s="578" t="s">
        <v>471</v>
      </c>
      <c r="CZ135" s="579" t="n">
        <v>1</v>
      </c>
      <c r="DA135" s="572"/>
      <c r="DB135" s="572"/>
      <c r="DC135" s="572"/>
      <c r="DD135" s="572"/>
      <c r="DE135" s="572"/>
      <c r="DF135" s="572"/>
      <c r="DG135" s="572"/>
      <c r="DH135" s="572"/>
      <c r="DI135" s="533" t="n">
        <v>1</v>
      </c>
      <c r="DJ135" s="509" t="s">
        <v>411</v>
      </c>
    </row>
    <row r="136" customFormat="false" ht="244.5" hidden="false" customHeight="true" outlineLevel="0" collapsed="false">
      <c r="A136" s="146" t="s">
        <v>59</v>
      </c>
      <c r="B136" s="147" t="s">
        <v>472</v>
      </c>
      <c r="C136" s="118" t="s">
        <v>30</v>
      </c>
      <c r="D136" s="118" t="n">
        <f aca="false">0.5*(L136+M136+N136)+O136+Q136+2*(R136+S136)</f>
        <v>1</v>
      </c>
      <c r="E136" s="118" t="n">
        <f aca="false">L136*0.5+M136*0.5+N136*0.5+O136+P136+Q136+2*(R136+S136+T136)</f>
        <v>1</v>
      </c>
      <c r="F136" s="149" t="e">
        <f aca="false">#VALUE!</f>
        <v>#VALUE!</v>
      </c>
      <c r="G136" s="149" t="s">
        <v>42</v>
      </c>
      <c r="H136" s="119"/>
      <c r="I136" s="149"/>
      <c r="J136" s="119"/>
      <c r="K136" s="119" t="s">
        <v>473</v>
      </c>
      <c r="L136" s="149"/>
      <c r="M136" s="149"/>
      <c r="N136" s="149"/>
      <c r="O136" s="149"/>
      <c r="P136" s="250"/>
      <c r="Q136" s="131" t="n">
        <v>1</v>
      </c>
      <c r="R136" s="580"/>
      <c r="S136" s="149"/>
      <c r="T136" s="149"/>
      <c r="U136" s="108" t="n">
        <v>1</v>
      </c>
      <c r="V136" s="151" t="s">
        <v>61</v>
      </c>
      <c r="W136" s="205"/>
      <c r="AT136" s="205"/>
      <c r="AU136" s="116" t="s">
        <v>49</v>
      </c>
      <c r="AV136" s="279" t="s">
        <v>474</v>
      </c>
      <c r="AW136" s="118" t="s">
        <v>30</v>
      </c>
      <c r="AX136" s="95" t="n">
        <f aca="false">0.5*(BF136+BG136+BH136)+BI136+BK136+2*(BL136+BM136)</f>
        <v>0</v>
      </c>
      <c r="AY136" s="95" t="n">
        <f aca="false">BF136*0.5+BG136*0.5+BH136*0.5+BI136+BJ136+BK136+2*(BL136+BM136+BN136)</f>
        <v>0</v>
      </c>
      <c r="AZ136" s="170"/>
      <c r="BA136" s="149" t="s">
        <v>51</v>
      </c>
      <c r="BB136" s="149"/>
      <c r="BC136" s="149"/>
      <c r="BD136" s="149"/>
      <c r="BE136" s="119" t="s">
        <v>225</v>
      </c>
      <c r="BF136" s="129"/>
      <c r="BG136" s="129"/>
      <c r="BH136" s="129"/>
      <c r="BI136" s="129"/>
      <c r="BJ136" s="129"/>
      <c r="BK136" s="129"/>
      <c r="BL136" s="129"/>
      <c r="BM136" s="129"/>
      <c r="BN136" s="129"/>
      <c r="BO136" s="108" t="n">
        <v>1</v>
      </c>
      <c r="BP136" s="151" t="s">
        <v>61</v>
      </c>
      <c r="BQ136" s="205"/>
      <c r="BR136" s="494" t="s">
        <v>403</v>
      </c>
      <c r="BS136" s="147" t="s">
        <v>475</v>
      </c>
      <c r="BT136" s="94" t="s">
        <v>30</v>
      </c>
      <c r="BU136" s="118" t="n">
        <f aca="false">0.5*(CC136+CD136+CE136)+CF136+CH136+2*(CI136+CJ136)</f>
        <v>1</v>
      </c>
      <c r="BV136" s="118" t="n">
        <f aca="false">CC136*0.5+CD136*0.5+CE136*0.5+CF136+CG136+CH136+2*(CI136+CJ136+CK136)</f>
        <v>1</v>
      </c>
      <c r="BW136" s="170"/>
      <c r="BX136" s="158" t="s">
        <v>65</v>
      </c>
      <c r="BY136" s="159" t="s">
        <v>66</v>
      </c>
      <c r="BZ136" s="103"/>
      <c r="CA136" s="267"/>
      <c r="CB136" s="153" t="s">
        <v>88</v>
      </c>
      <c r="CC136" s="121"/>
      <c r="CD136" s="256" t="n">
        <v>2</v>
      </c>
      <c r="CE136" s="121"/>
      <c r="CF136" s="121"/>
      <c r="CG136" s="121"/>
      <c r="CH136" s="121"/>
      <c r="CI136" s="121"/>
      <c r="CJ136" s="121"/>
      <c r="CK136" s="121"/>
      <c r="CL136" s="145" t="n">
        <v>1</v>
      </c>
      <c r="CM136" s="194"/>
      <c r="CN136" s="56"/>
      <c r="CO136" s="499" t="s">
        <v>409</v>
      </c>
      <c r="CP136" s="526" t="s">
        <v>476</v>
      </c>
      <c r="CQ136" s="118" t="s">
        <v>30</v>
      </c>
      <c r="CR136" s="95" t="n">
        <f aca="false">0.5*(CZ136+DA136+DB136)+DC136+DE136+2*(DF136+DG136)</f>
        <v>0</v>
      </c>
      <c r="CS136" s="95" t="n">
        <f aca="false">CZ136*0.5+DA136*0.5+DB136*0.5+DC136+DD136+DE136+2*(DF136+DG136+DH136)</f>
        <v>0</v>
      </c>
      <c r="CT136" s="581"/>
      <c r="CU136" s="528" t="s">
        <v>70</v>
      </c>
      <c r="CV136" s="530"/>
      <c r="CW136" s="555"/>
      <c r="CX136" s="530"/>
      <c r="CY136" s="529" t="s">
        <v>450</v>
      </c>
      <c r="CZ136" s="582"/>
      <c r="DA136" s="582"/>
      <c r="DB136" s="582"/>
      <c r="DC136" s="582"/>
      <c r="DD136" s="582"/>
      <c r="DE136" s="582"/>
      <c r="DF136" s="582"/>
      <c r="DG136" s="582"/>
      <c r="DH136" s="582"/>
      <c r="DI136" s="533" t="n">
        <v>1</v>
      </c>
      <c r="DJ136" s="509" t="s">
        <v>411</v>
      </c>
    </row>
    <row r="137" customFormat="false" ht="179.25" hidden="false" customHeight="true" outlineLevel="0" collapsed="false">
      <c r="A137" s="583" t="s">
        <v>477</v>
      </c>
      <c r="B137" s="199" t="s">
        <v>478</v>
      </c>
      <c r="C137" s="584" t="s">
        <v>479</v>
      </c>
      <c r="D137" s="584"/>
      <c r="E137" s="584"/>
      <c r="F137" s="584"/>
      <c r="G137" s="584"/>
      <c r="H137" s="584"/>
      <c r="I137" s="584"/>
      <c r="J137" s="584"/>
      <c r="K137" s="584"/>
      <c r="L137" s="584"/>
      <c r="M137" s="584"/>
      <c r="N137" s="584"/>
      <c r="O137" s="584"/>
      <c r="P137" s="584"/>
      <c r="Q137" s="584"/>
      <c r="R137" s="584"/>
      <c r="S137" s="584"/>
      <c r="T137" s="584"/>
      <c r="U137" s="108" t="n">
        <v>1</v>
      </c>
      <c r="V137" s="119"/>
      <c r="W137" s="205"/>
      <c r="AT137" s="205"/>
      <c r="AU137" s="116" t="s">
        <v>49</v>
      </c>
      <c r="AV137" s="279" t="s">
        <v>480</v>
      </c>
      <c r="AW137" s="118" t="s">
        <v>30</v>
      </c>
      <c r="AX137" s="95" t="n">
        <f aca="false">0.5*(BF137+BG137+BH137)+BI137+BK137+2*(BL137+BM137)</f>
        <v>0</v>
      </c>
      <c r="AY137" s="95" t="n">
        <f aca="false">BF137*0.5+BG137*0.5+BH137*0.5+BI137+BJ137+BK137+2*(BL137+BM137+BN137)</f>
        <v>0</v>
      </c>
      <c r="AZ137" s="170"/>
      <c r="BA137" s="149" t="s">
        <v>51</v>
      </c>
      <c r="BB137" s="149"/>
      <c r="BC137" s="149"/>
      <c r="BD137" s="149"/>
      <c r="BE137" s="119" t="s">
        <v>225</v>
      </c>
      <c r="BF137" s="129"/>
      <c r="BG137" s="129"/>
      <c r="BH137" s="129"/>
      <c r="BI137" s="129"/>
      <c r="BJ137" s="129"/>
      <c r="BK137" s="129"/>
      <c r="BL137" s="129"/>
      <c r="BM137" s="129"/>
      <c r="BN137" s="129"/>
      <c r="BO137" s="108" t="n">
        <v>1</v>
      </c>
      <c r="BP137" s="151" t="s">
        <v>61</v>
      </c>
      <c r="BQ137" s="205"/>
      <c r="BR137" s="494" t="s">
        <v>403</v>
      </c>
      <c r="BS137" s="147" t="s">
        <v>481</v>
      </c>
      <c r="BT137" s="94" t="s">
        <v>30</v>
      </c>
      <c r="BU137" s="118" t="n">
        <f aca="false">0.5*(CC137+CD137+CE137)+CF137+CH137+2*(CI137+CJ137)</f>
        <v>0</v>
      </c>
      <c r="BV137" s="118" t="n">
        <f aca="false">CC137*0.5+CD137*0.5+CE137*0.5+CF137+CG137+CH137+2*(CI137+CJ137+CK137)</f>
        <v>0</v>
      </c>
      <c r="BW137" s="170"/>
      <c r="BX137" s="149" t="s">
        <v>42</v>
      </c>
      <c r="BY137" s="149"/>
      <c r="BZ137" s="103"/>
      <c r="CA137" s="267"/>
      <c r="CB137" s="153" t="s">
        <v>88</v>
      </c>
      <c r="CC137" s="121"/>
      <c r="CD137" s="121"/>
      <c r="CE137" s="121"/>
      <c r="CF137" s="121"/>
      <c r="CG137" s="121"/>
      <c r="CH137" s="121"/>
      <c r="CI137" s="121"/>
      <c r="CJ137" s="121"/>
      <c r="CK137" s="121"/>
      <c r="CL137" s="145" t="n">
        <v>1</v>
      </c>
      <c r="CM137" s="194"/>
      <c r="CN137" s="56"/>
      <c r="CO137" s="499" t="s">
        <v>409</v>
      </c>
      <c r="CP137" s="526" t="s">
        <v>482</v>
      </c>
      <c r="CQ137" s="118" t="s">
        <v>30</v>
      </c>
      <c r="CR137" s="95" t="n">
        <f aca="false">0.5*(CZ137+DA137+DB137)+DC137+DE137+2*(DF137+DG137)</f>
        <v>0.5</v>
      </c>
      <c r="CS137" s="95" t="n">
        <f aca="false">CZ137*0.5+DA137*0.5+DB137*0.5+DC137+DD137+DE137+2*(DF137+DG137+DH137)</f>
        <v>0.5</v>
      </c>
      <c r="CT137" s="529"/>
      <c r="CU137" s="529" t="s">
        <v>483</v>
      </c>
      <c r="CV137" s="529"/>
      <c r="CW137" s="585"/>
      <c r="CX137" s="585"/>
      <c r="CY137" s="531" t="s">
        <v>484</v>
      </c>
      <c r="CZ137" s="553" t="n">
        <v>1</v>
      </c>
      <c r="DA137" s="586"/>
      <c r="DB137" s="586"/>
      <c r="DC137" s="586"/>
      <c r="DD137" s="586"/>
      <c r="DE137" s="586"/>
      <c r="DF137" s="586"/>
      <c r="DG137" s="586"/>
      <c r="DH137" s="586"/>
      <c r="DI137" s="533" t="n">
        <v>1</v>
      </c>
      <c r="DJ137" s="509" t="s">
        <v>411</v>
      </c>
    </row>
    <row r="138" customFormat="false" ht="171" hidden="false" customHeight="true" outlineLevel="0" collapsed="false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AT138" s="205"/>
      <c r="AU138" s="116" t="s">
        <v>49</v>
      </c>
      <c r="AV138" s="279" t="s">
        <v>485</v>
      </c>
      <c r="AW138" s="118" t="s">
        <v>30</v>
      </c>
      <c r="AX138" s="95" t="n">
        <f aca="false">0.5*(BF138+BG138+BH138)+BI138+BK138+2*(BL138+BM138)</f>
        <v>0</v>
      </c>
      <c r="AY138" s="95" t="n">
        <f aca="false">BF138*0.5+BG138*0.5+BH138*0.5+BI138+BJ138+BK138+2*(BL138+BM138+BN138)</f>
        <v>0</v>
      </c>
      <c r="AZ138" s="170"/>
      <c r="BA138" s="7" t="s">
        <v>42</v>
      </c>
      <c r="BB138" s="153"/>
      <c r="BC138" s="103"/>
      <c r="BD138" s="54"/>
      <c r="BE138" s="50" t="s">
        <v>486</v>
      </c>
      <c r="BF138" s="99"/>
      <c r="BG138" s="99"/>
      <c r="BH138" s="99"/>
      <c r="BI138" s="99"/>
      <c r="BJ138" s="99"/>
      <c r="BK138" s="99"/>
      <c r="BL138" s="99"/>
      <c r="BM138" s="99"/>
      <c r="BN138" s="99"/>
      <c r="BO138" s="108" t="n">
        <v>1</v>
      </c>
      <c r="BP138" s="151" t="s">
        <v>61</v>
      </c>
      <c r="BQ138" s="205"/>
      <c r="BR138" s="494" t="s">
        <v>403</v>
      </c>
      <c r="BS138" s="147" t="s">
        <v>487</v>
      </c>
      <c r="BT138" s="94" t="s">
        <v>30</v>
      </c>
      <c r="BU138" s="118" t="n">
        <f aca="false">0.5*(CC138+CD138+CE138)+CF138+CH138+2*(CI138+CJ138)</f>
        <v>0</v>
      </c>
      <c r="BV138" s="118" t="n">
        <f aca="false">CC138*0.5+CD138*0.5+CE138*0.5+CF138+CG138+CH138+2*(CI138+CJ138+CK138)</f>
        <v>0</v>
      </c>
      <c r="BW138" s="50"/>
      <c r="BX138" s="7" t="s">
        <v>42</v>
      </c>
      <c r="BY138" s="71"/>
      <c r="BZ138" s="587"/>
      <c r="CA138" s="98"/>
      <c r="CB138" s="98"/>
      <c r="CC138" s="99"/>
      <c r="CD138" s="99"/>
      <c r="CE138" s="99"/>
      <c r="CF138" s="99"/>
      <c r="CG138" s="99"/>
      <c r="CH138" s="99"/>
      <c r="CI138" s="99"/>
      <c r="CJ138" s="99"/>
      <c r="CK138" s="99"/>
      <c r="CL138" s="145" t="n">
        <v>1</v>
      </c>
      <c r="CM138" s="194"/>
      <c r="CN138" s="56"/>
      <c r="CO138" s="499" t="s">
        <v>409</v>
      </c>
      <c r="CP138" s="588" t="s">
        <v>488</v>
      </c>
      <c r="CQ138" s="118" t="s">
        <v>30</v>
      </c>
      <c r="CR138" s="95" t="n">
        <f aca="false">0.5*(CZ138+DA138+DB138)+DC138+DE138+2*(DF138+DG138)</f>
        <v>0</v>
      </c>
      <c r="CS138" s="95" t="n">
        <f aca="false">CZ138*0.5+DA138*0.5+DB138*0.5+DC138+DD138+DE138+2*(DF138+DG138+DH138)</f>
        <v>0</v>
      </c>
      <c r="CT138" s="589"/>
      <c r="CU138" s="590" t="s">
        <v>42</v>
      </c>
      <c r="CV138" s="591"/>
      <c r="CW138" s="589"/>
      <c r="CX138" s="592"/>
      <c r="CY138" s="590" t="s">
        <v>489</v>
      </c>
      <c r="CZ138" s="593"/>
      <c r="DA138" s="593"/>
      <c r="DB138" s="593"/>
      <c r="DC138" s="593"/>
      <c r="DD138" s="593"/>
      <c r="DE138" s="593"/>
      <c r="DF138" s="593"/>
      <c r="DG138" s="593"/>
      <c r="DH138" s="593"/>
      <c r="DI138" s="594" t="n">
        <v>1</v>
      </c>
      <c r="DJ138" s="509" t="s">
        <v>411</v>
      </c>
    </row>
    <row r="139" customFormat="false" ht="225.75" hidden="false" customHeight="true" outlineLevel="0" collapsed="false">
      <c r="A139" s="59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AT139" s="205"/>
      <c r="AU139" s="116" t="s">
        <v>49</v>
      </c>
      <c r="AV139" s="279" t="s">
        <v>490</v>
      </c>
      <c r="AW139" s="118" t="s">
        <v>30</v>
      </c>
      <c r="AX139" s="95" t="n">
        <f aca="false">0.5*(BF139+BG139+BH139)+BI139+BK139+2*(BL139+BM139)</f>
        <v>0</v>
      </c>
      <c r="AY139" s="95" t="n">
        <f aca="false">BF139*0.5+BG139*0.5+BH139*0.5+BI139+BJ139+BK139+2*(BL139+BM139+BN139)</f>
        <v>0</v>
      </c>
      <c r="AZ139" s="170"/>
      <c r="BA139" s="7" t="s">
        <v>51</v>
      </c>
      <c r="BB139" s="153"/>
      <c r="BC139" s="103"/>
      <c r="BD139" s="54"/>
      <c r="BE139" s="50" t="s">
        <v>486</v>
      </c>
      <c r="BF139" s="99"/>
      <c r="BG139" s="99"/>
      <c r="BH139" s="99"/>
      <c r="BI139" s="99"/>
      <c r="BJ139" s="99"/>
      <c r="BK139" s="99"/>
      <c r="BL139" s="99"/>
      <c r="BM139" s="99"/>
      <c r="BN139" s="99"/>
      <c r="BO139" s="108" t="n">
        <v>1</v>
      </c>
      <c r="BP139" s="151" t="s">
        <v>61</v>
      </c>
      <c r="BQ139" s="205"/>
      <c r="BR139" s="348" t="s">
        <v>219</v>
      </c>
      <c r="BS139" s="127" t="s">
        <v>491</v>
      </c>
      <c r="BT139" s="118" t="s">
        <v>30</v>
      </c>
      <c r="BU139" s="118" t="n">
        <f aca="false">0.5*(CC139+CD139+CE139)+CF139+CH139+2*(CI139+CJ139)</f>
        <v>1</v>
      </c>
      <c r="BV139" s="118" t="n">
        <f aca="false">CC139*0.5+CD139*0.5+CE139*0.5+CF139+CG139+CH139+2*(CI139+CJ139+CK139)</f>
        <v>1</v>
      </c>
      <c r="BW139" s="267"/>
      <c r="BX139" s="119" t="s">
        <v>51</v>
      </c>
      <c r="BY139" s="349"/>
      <c r="BZ139" s="119"/>
      <c r="CA139" s="119"/>
      <c r="CB139" s="114" t="s">
        <v>4</v>
      </c>
      <c r="CC139" s="350" t="n">
        <v>2</v>
      </c>
      <c r="CD139" s="596"/>
      <c r="CE139" s="596"/>
      <c r="CF139" s="596"/>
      <c r="CG139" s="596"/>
      <c r="CH139" s="596"/>
      <c r="CI139" s="596"/>
      <c r="CJ139" s="596"/>
      <c r="CK139" s="596"/>
      <c r="CL139" s="397" t="n">
        <v>1</v>
      </c>
      <c r="CM139" s="149"/>
      <c r="CO139" s="499" t="s">
        <v>409</v>
      </c>
      <c r="CP139" s="597" t="s">
        <v>492</v>
      </c>
      <c r="CQ139" s="118" t="s">
        <v>30</v>
      </c>
      <c r="CR139" s="95" t="n">
        <f aca="false">0.5*(CZ139+DA139+DB139)+DC139+DE139+2*(DF139+DG139)</f>
        <v>4</v>
      </c>
      <c r="CS139" s="95" t="n">
        <f aca="false">CZ139*0.5+DA139*0.5+DB139*0.5+DC139+DD139+DE139+2*(DF139+DG139+DH139)</f>
        <v>4</v>
      </c>
      <c r="CT139" s="598"/>
      <c r="CU139" s="599" t="s">
        <v>78</v>
      </c>
      <c r="CV139" s="600"/>
      <c r="CW139" s="600"/>
      <c r="CX139" s="601"/>
      <c r="CY139" s="602" t="s">
        <v>493</v>
      </c>
      <c r="CZ139" s="603"/>
      <c r="DA139" s="603"/>
      <c r="DB139" s="603"/>
      <c r="DC139" s="603"/>
      <c r="DD139" s="603"/>
      <c r="DE139" s="603"/>
      <c r="DF139" s="604" t="n">
        <v>2</v>
      </c>
      <c r="DG139" s="603"/>
      <c r="DH139" s="603"/>
      <c r="DI139" s="605" t="n">
        <v>1</v>
      </c>
      <c r="DJ139" s="509" t="s">
        <v>411</v>
      </c>
    </row>
    <row r="140" customFormat="false" ht="225" hidden="false" customHeight="true" outlineLevel="0" collapsed="false">
      <c r="A140" s="205"/>
      <c r="B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AT140" s="205"/>
      <c r="AU140" s="116" t="s">
        <v>49</v>
      </c>
      <c r="AV140" s="279" t="s">
        <v>494</v>
      </c>
      <c r="AW140" s="118" t="s">
        <v>30</v>
      </c>
      <c r="AX140" s="95" t="n">
        <f aca="false">0.5*(BF140+BG140+BH140)+BI140+BK140+2*(BL140+BM140)</f>
        <v>0</v>
      </c>
      <c r="AY140" s="95" t="n">
        <f aca="false">BF140*0.5+BG140*0.5+BH140*0.5+BI140+BJ140+BK140+2*(BL140+BM140+BN140)</f>
        <v>0</v>
      </c>
      <c r="AZ140" s="170"/>
      <c r="BA140" s="149" t="s">
        <v>51</v>
      </c>
      <c r="BB140" s="149"/>
      <c r="BC140" s="103"/>
      <c r="BD140" s="119"/>
      <c r="BE140" s="50" t="s">
        <v>486</v>
      </c>
      <c r="BF140" s="129"/>
      <c r="BG140" s="129"/>
      <c r="BH140" s="129"/>
      <c r="BI140" s="129"/>
      <c r="BJ140" s="129"/>
      <c r="BK140" s="129"/>
      <c r="BL140" s="129"/>
      <c r="BM140" s="129"/>
      <c r="BN140" s="129"/>
      <c r="BO140" s="108" t="n">
        <v>1</v>
      </c>
      <c r="BP140" s="151" t="s">
        <v>61</v>
      </c>
      <c r="BQ140" s="205"/>
      <c r="CO140" s="205"/>
      <c r="CP140" s="205"/>
      <c r="CQ140" s="205"/>
      <c r="CR140" s="205"/>
      <c r="CS140" s="205"/>
      <c r="CT140" s="205"/>
      <c r="CU140" s="205"/>
      <c r="CV140" s="205"/>
      <c r="CW140" s="205"/>
      <c r="CX140" s="205"/>
      <c r="CY140" s="205"/>
      <c r="CZ140" s="205"/>
      <c r="DA140" s="205"/>
      <c r="DB140" s="205"/>
      <c r="DC140" s="205"/>
      <c r="DD140" s="205"/>
      <c r="DE140" s="205"/>
      <c r="DF140" s="205"/>
      <c r="DG140" s="205"/>
      <c r="DH140" s="205"/>
      <c r="DI140" s="205"/>
    </row>
    <row r="141" customFormat="false" ht="224.25" hidden="false" customHeight="true" outlineLevel="0" collapsed="false">
      <c r="A141" s="205"/>
      <c r="B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AT141" s="205"/>
      <c r="AU141" s="116" t="s">
        <v>49</v>
      </c>
      <c r="AV141" s="279" t="s">
        <v>495</v>
      </c>
      <c r="AW141" s="118" t="s">
        <v>30</v>
      </c>
      <c r="AX141" s="95" t="n">
        <f aca="false">0.5*(BF141+BG141+BH141)+BI141+BK141+2*(BL141+BM141)</f>
        <v>0</v>
      </c>
      <c r="AY141" s="95" t="n">
        <f aca="false">BF141*0.5+BG141*0.5+BH141*0.5+BI141+BJ141+BK141+2*(BL141+BM141+BN141)</f>
        <v>0</v>
      </c>
      <c r="AZ141" s="149" t="e">
        <f aca="false">#VALUE!</f>
        <v>#VALUE!</v>
      </c>
      <c r="BA141" s="149" t="s">
        <v>51</v>
      </c>
      <c r="BB141" s="149"/>
      <c r="BC141" s="149"/>
      <c r="BD141" s="149"/>
      <c r="BE141" s="119" t="s">
        <v>225</v>
      </c>
      <c r="BF141" s="129"/>
      <c r="BG141" s="129"/>
      <c r="BH141" s="129"/>
      <c r="BI141" s="129"/>
      <c r="BJ141" s="129"/>
      <c r="BK141" s="129"/>
      <c r="BL141" s="129"/>
      <c r="BM141" s="129"/>
      <c r="BN141" s="129"/>
      <c r="BO141" s="108" t="n">
        <v>1</v>
      </c>
      <c r="BP141" s="151" t="s">
        <v>61</v>
      </c>
      <c r="BQ141" s="205"/>
      <c r="CO141" s="205"/>
      <c r="CP141" s="205"/>
      <c r="CQ141" s="205"/>
      <c r="CR141" s="205"/>
      <c r="CS141" s="205"/>
      <c r="CT141" s="205"/>
      <c r="CU141" s="205"/>
      <c r="CV141" s="205"/>
      <c r="CW141" s="205"/>
      <c r="CX141" s="205"/>
      <c r="CY141" s="205"/>
      <c r="CZ141" s="205"/>
      <c r="DA141" s="205"/>
      <c r="DB141" s="205"/>
      <c r="DC141" s="205"/>
      <c r="DD141" s="205"/>
      <c r="DE141" s="205"/>
      <c r="DF141" s="205"/>
      <c r="DG141" s="205"/>
      <c r="DH141" s="205"/>
      <c r="DI141" s="205"/>
    </row>
    <row r="142" customFormat="false" ht="173.25" hidden="false" customHeight="true" outlineLevel="0" collapsed="false">
      <c r="A142" s="205"/>
      <c r="B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AT142" s="205"/>
      <c r="AU142" s="606" t="s">
        <v>59</v>
      </c>
      <c r="AV142" s="607" t="s">
        <v>496</v>
      </c>
      <c r="AW142" s="608" t="s">
        <v>30</v>
      </c>
      <c r="AX142" s="608" t="n">
        <f aca="false">0.5*(BF142+BG142+BH142)+BI142+BK142+2*(BL142+BM142)</f>
        <v>2</v>
      </c>
      <c r="AY142" s="608" t="n">
        <f aca="false">BF142*0.5+BG142*0.5+BH142*0.5+BI142+BJ142+BK142+2*(BL142+BM142+BN142)</f>
        <v>2</v>
      </c>
      <c r="AZ142" s="609"/>
      <c r="BA142" s="610" t="s">
        <v>51</v>
      </c>
      <c r="BB142" s="610"/>
      <c r="BC142" s="610"/>
      <c r="BD142" s="438"/>
      <c r="BE142" s="438" t="s">
        <v>497</v>
      </c>
      <c r="BF142" s="611"/>
      <c r="BG142" s="611"/>
      <c r="BH142" s="611"/>
      <c r="BI142" s="611"/>
      <c r="BJ142" s="611"/>
      <c r="BK142" s="612" t="n">
        <v>2</v>
      </c>
      <c r="BL142" s="611"/>
      <c r="BM142" s="611"/>
      <c r="BN142" s="611"/>
      <c r="BO142" s="613" t="n">
        <v>1</v>
      </c>
      <c r="BP142" s="614"/>
      <c r="BQ142" s="205"/>
      <c r="CO142" s="205"/>
      <c r="CP142" s="205"/>
      <c r="CQ142" s="205"/>
      <c r="CR142" s="205"/>
      <c r="CS142" s="205"/>
      <c r="CT142" s="205"/>
      <c r="CU142" s="205"/>
      <c r="CV142" s="205"/>
      <c r="CW142" s="205"/>
      <c r="CX142" s="205"/>
      <c r="CY142" s="205"/>
      <c r="CZ142" s="205"/>
      <c r="DA142" s="205"/>
      <c r="DB142" s="205"/>
      <c r="DC142" s="205"/>
      <c r="DD142" s="205"/>
      <c r="DE142" s="205"/>
      <c r="DF142" s="205"/>
      <c r="DG142" s="205"/>
      <c r="DH142" s="205"/>
      <c r="DI142" s="205"/>
      <c r="DK142" s="14"/>
    </row>
    <row r="143" customFormat="false" ht="319.5" hidden="false" customHeight="true" outlineLevel="0" collapsed="false">
      <c r="A143" s="205"/>
      <c r="B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AT143" s="205"/>
      <c r="AU143" s="354" t="s">
        <v>228</v>
      </c>
      <c r="AV143" s="195" t="s">
        <v>498</v>
      </c>
      <c r="AW143" s="118" t="s">
        <v>30</v>
      </c>
      <c r="AX143" s="95" t="n">
        <f aca="false">0.5*(BF143+BG143+BH143)+BI143+BK143+2*(BL143+BM143)</f>
        <v>0.5</v>
      </c>
      <c r="AY143" s="95" t="n">
        <f aca="false">BF143*0.5+BG143*0.5+BH143*0.5+BI143+BJ143+BK143+2*(BL143+BM143+BN143)</f>
        <v>0.5</v>
      </c>
      <c r="AZ143" s="615" t="s">
        <v>499</v>
      </c>
      <c r="BA143" s="615"/>
      <c r="BB143" s="615"/>
      <c r="BC143" s="615"/>
      <c r="BD143" s="615"/>
      <c r="BE143" s="615"/>
      <c r="BF143" s="616"/>
      <c r="BG143" s="612" t="n">
        <v>1</v>
      </c>
      <c r="BH143" s="444"/>
      <c r="BI143" s="133"/>
      <c r="BJ143" s="616"/>
      <c r="BK143" s="444"/>
      <c r="BL143" s="133"/>
      <c r="BM143" s="616"/>
      <c r="BN143" s="97"/>
      <c r="BO143" s="108" t="n">
        <v>1</v>
      </c>
      <c r="BP143" s="194"/>
      <c r="BQ143" s="205"/>
      <c r="CO143" s="205"/>
      <c r="CP143" s="205"/>
      <c r="CQ143" s="205"/>
      <c r="CR143" s="205"/>
      <c r="CS143" s="205"/>
      <c r="CT143" s="205"/>
      <c r="CU143" s="205"/>
      <c r="CV143" s="205"/>
      <c r="CW143" s="205"/>
      <c r="CX143" s="205"/>
      <c r="CY143" s="205"/>
      <c r="CZ143" s="205"/>
      <c r="DA143" s="205"/>
      <c r="DB143" s="205"/>
      <c r="DC143" s="205"/>
      <c r="DD143" s="205"/>
      <c r="DE143" s="205"/>
      <c r="DF143" s="205"/>
      <c r="DG143" s="205"/>
      <c r="DH143" s="205"/>
      <c r="DI143" s="205"/>
      <c r="DK143" s="14"/>
    </row>
    <row r="144" customFormat="false" ht="172.5" hidden="false" customHeight="true" outlineLevel="0" collapsed="false">
      <c r="A144" s="205"/>
      <c r="B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AT144" s="205"/>
      <c r="AU144" s="205"/>
      <c r="AV144" s="239"/>
      <c r="AW144" s="205"/>
      <c r="AX144" s="205"/>
      <c r="AY144" s="205"/>
      <c r="AZ144" s="205"/>
      <c r="BA144" s="241"/>
      <c r="BB144" s="205"/>
      <c r="BC144" s="205"/>
      <c r="BD144" s="205"/>
      <c r="BE144" s="241"/>
      <c r="BF144" s="205"/>
      <c r="BG144" s="205"/>
      <c r="BH144" s="205"/>
      <c r="BI144" s="205"/>
      <c r="BJ144" s="205"/>
      <c r="BK144" s="205"/>
      <c r="BL144" s="205"/>
      <c r="BM144" s="205"/>
      <c r="BN144" s="205"/>
      <c r="BO144" s="205"/>
      <c r="BP144" s="205"/>
      <c r="BQ144" s="205"/>
      <c r="CO144" s="205"/>
      <c r="CP144" s="205"/>
      <c r="CQ144" s="205"/>
      <c r="CR144" s="205"/>
      <c r="CS144" s="205"/>
      <c r="CT144" s="205"/>
      <c r="CU144" s="205"/>
      <c r="CV144" s="205"/>
      <c r="CW144" s="205"/>
      <c r="CX144" s="205"/>
      <c r="CY144" s="205"/>
      <c r="CZ144" s="205"/>
      <c r="DA144" s="205"/>
      <c r="DB144" s="205"/>
      <c r="DC144" s="205"/>
      <c r="DD144" s="205"/>
      <c r="DE144" s="205"/>
      <c r="DF144" s="205"/>
      <c r="DG144" s="205"/>
      <c r="DH144" s="205"/>
      <c r="DI144" s="205"/>
    </row>
    <row r="145" customFormat="false" ht="22.5" hidden="false" customHeight="false" outlineLevel="0" collapsed="false">
      <c r="A145" s="205"/>
      <c r="B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AT145" s="205"/>
      <c r="AU145" s="205"/>
      <c r="AV145" s="239"/>
      <c r="AW145" s="205"/>
      <c r="AX145" s="205"/>
      <c r="AY145" s="205"/>
      <c r="AZ145" s="205"/>
      <c r="BA145" s="241"/>
      <c r="BB145" s="205"/>
      <c r="BC145" s="205"/>
      <c r="BD145" s="205"/>
      <c r="BE145" s="241"/>
      <c r="BF145" s="205"/>
      <c r="BG145" s="205"/>
      <c r="BH145" s="205"/>
      <c r="BI145" s="205"/>
      <c r="BJ145" s="205"/>
      <c r="BK145" s="205"/>
      <c r="BL145" s="205"/>
      <c r="BM145" s="205"/>
      <c r="BN145" s="205"/>
      <c r="BO145" s="205"/>
      <c r="BP145" s="205"/>
      <c r="BQ145" s="205"/>
      <c r="BR145" s="205"/>
      <c r="BS145" s="205"/>
      <c r="BT145" s="205"/>
      <c r="BU145" s="205"/>
      <c r="BV145" s="205"/>
      <c r="BW145" s="205"/>
      <c r="BX145" s="241"/>
      <c r="BY145" s="205"/>
      <c r="BZ145" s="205"/>
      <c r="CA145" s="205"/>
      <c r="CB145" s="241"/>
      <c r="CC145" s="205"/>
      <c r="CD145" s="205"/>
      <c r="CE145" s="205"/>
      <c r="CF145" s="205"/>
      <c r="CG145" s="205"/>
      <c r="CH145" s="205"/>
      <c r="CI145" s="205"/>
      <c r="CJ145" s="205"/>
      <c r="CK145" s="205"/>
      <c r="CL145" s="205"/>
      <c r="CM145" s="205"/>
      <c r="CN145" s="205"/>
      <c r="CO145" s="205"/>
      <c r="CP145" s="205"/>
      <c r="CQ145" s="205"/>
      <c r="CR145" s="205"/>
      <c r="CS145" s="205"/>
      <c r="CT145" s="205"/>
      <c r="CU145" s="205"/>
      <c r="CV145" s="205"/>
      <c r="CW145" s="205"/>
      <c r="CX145" s="205"/>
      <c r="CY145" s="205"/>
      <c r="CZ145" s="205"/>
      <c r="DA145" s="205"/>
      <c r="DB145" s="205"/>
      <c r="DC145" s="205"/>
      <c r="DD145" s="205"/>
      <c r="DE145" s="205"/>
      <c r="DF145" s="205"/>
      <c r="DG145" s="205"/>
      <c r="DH145" s="205"/>
      <c r="DI145" s="205"/>
    </row>
    <row r="146" customFormat="false" ht="22.5" hidden="false" customHeight="false" outlineLevel="0" collapsed="false">
      <c r="A146" s="205"/>
      <c r="B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AT146" s="205"/>
      <c r="AU146" s="205"/>
      <c r="AV146" s="239"/>
      <c r="AW146" s="205"/>
      <c r="AX146" s="205"/>
      <c r="AY146" s="205"/>
      <c r="AZ146" s="205"/>
      <c r="BA146" s="241"/>
      <c r="BB146" s="205"/>
      <c r="BC146" s="205"/>
      <c r="BD146" s="205"/>
      <c r="BE146" s="241"/>
      <c r="BF146" s="205"/>
      <c r="BG146" s="205"/>
      <c r="BH146" s="205"/>
      <c r="BI146" s="205"/>
      <c r="BJ146" s="205"/>
      <c r="BK146" s="205"/>
      <c r="BL146" s="205"/>
      <c r="BM146" s="205"/>
      <c r="BN146" s="205"/>
      <c r="BO146" s="205"/>
      <c r="BP146" s="205"/>
      <c r="BQ146" s="205"/>
      <c r="BR146" s="205"/>
      <c r="BS146" s="205"/>
      <c r="BT146" s="205"/>
      <c r="BU146" s="205"/>
      <c r="BV146" s="205"/>
      <c r="BW146" s="205"/>
      <c r="BX146" s="241"/>
      <c r="BY146" s="205"/>
      <c r="BZ146" s="205"/>
      <c r="CA146" s="205"/>
      <c r="CB146" s="241"/>
      <c r="CC146" s="205"/>
      <c r="CD146" s="205"/>
      <c r="CE146" s="205"/>
      <c r="CF146" s="205"/>
      <c r="CG146" s="205"/>
      <c r="CH146" s="205"/>
      <c r="CI146" s="205"/>
      <c r="CJ146" s="205"/>
      <c r="CK146" s="205"/>
      <c r="CL146" s="205"/>
      <c r="CM146" s="205"/>
      <c r="CN146" s="205"/>
      <c r="CO146" s="205"/>
      <c r="CP146" s="205"/>
      <c r="CQ146" s="205"/>
      <c r="CR146" s="205"/>
      <c r="CS146" s="205"/>
      <c r="CT146" s="205"/>
      <c r="CU146" s="205"/>
      <c r="CV146" s="205"/>
      <c r="CW146" s="205"/>
      <c r="CX146" s="205"/>
      <c r="CY146" s="205"/>
      <c r="CZ146" s="205"/>
      <c r="DA146" s="205"/>
      <c r="DB146" s="205"/>
      <c r="DC146" s="205"/>
      <c r="DD146" s="205"/>
      <c r="DE146" s="205"/>
      <c r="DF146" s="205"/>
      <c r="DG146" s="205"/>
      <c r="DH146" s="205"/>
      <c r="DI146" s="205"/>
    </row>
    <row r="147" customFormat="false" ht="22.5" hidden="false" customHeight="false" outlineLevel="0" collapsed="false">
      <c r="A147" s="205"/>
      <c r="B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AT147" s="205"/>
      <c r="AU147" s="205"/>
      <c r="AV147" s="239"/>
      <c r="AW147" s="205"/>
      <c r="AX147" s="205"/>
      <c r="AY147" s="205"/>
      <c r="AZ147" s="205"/>
      <c r="BA147" s="241"/>
      <c r="BB147" s="205"/>
      <c r="BC147" s="205"/>
      <c r="BD147" s="205"/>
      <c r="BE147" s="241"/>
      <c r="BF147" s="205"/>
      <c r="BG147" s="205"/>
      <c r="BH147" s="205"/>
      <c r="BI147" s="205"/>
      <c r="BJ147" s="205"/>
      <c r="BK147" s="205"/>
      <c r="BL147" s="205"/>
      <c r="BM147" s="205"/>
      <c r="BN147" s="205"/>
      <c r="BO147" s="205"/>
      <c r="BP147" s="205"/>
      <c r="BQ147" s="205"/>
      <c r="BR147" s="205"/>
      <c r="BS147" s="205"/>
      <c r="BT147" s="205"/>
      <c r="BU147" s="205"/>
      <c r="BV147" s="205"/>
      <c r="BW147" s="205"/>
      <c r="BX147" s="241"/>
      <c r="BY147" s="205"/>
      <c r="BZ147" s="205"/>
      <c r="CA147" s="205"/>
      <c r="CB147" s="241"/>
      <c r="CC147" s="205"/>
      <c r="CD147" s="205"/>
      <c r="CE147" s="205"/>
      <c r="CF147" s="205"/>
      <c r="CG147" s="205"/>
      <c r="CH147" s="205"/>
      <c r="CI147" s="205"/>
      <c r="CJ147" s="205"/>
      <c r="CK147" s="205"/>
      <c r="CL147" s="205"/>
      <c r="CM147" s="205"/>
      <c r="CN147" s="205"/>
      <c r="CO147" s="205"/>
      <c r="CP147" s="205"/>
      <c r="CQ147" s="205"/>
      <c r="CR147" s="205"/>
      <c r="CS147" s="205"/>
      <c r="CT147" s="205"/>
      <c r="CU147" s="205"/>
      <c r="CV147" s="205"/>
      <c r="CW147" s="205"/>
      <c r="CX147" s="205"/>
      <c r="CY147" s="205"/>
      <c r="CZ147" s="205"/>
      <c r="DA147" s="205"/>
      <c r="DB147" s="205"/>
      <c r="DC147" s="205"/>
      <c r="DD147" s="205"/>
      <c r="DE147" s="205"/>
      <c r="DF147" s="205"/>
      <c r="DG147" s="205"/>
      <c r="DH147" s="205"/>
      <c r="DI147" s="205"/>
    </row>
    <row r="148" customFormat="false" ht="22.5" hidden="false" customHeight="false" outlineLevel="0" collapsed="false">
      <c r="A148" s="205"/>
      <c r="B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AT148" s="205"/>
      <c r="AU148" s="205"/>
      <c r="AV148" s="239"/>
      <c r="AW148" s="205"/>
      <c r="AX148" s="205"/>
      <c r="AY148" s="205"/>
      <c r="AZ148" s="205"/>
      <c r="BA148" s="241"/>
      <c r="BB148" s="205"/>
      <c r="BC148" s="205"/>
      <c r="BD148" s="205"/>
      <c r="BE148" s="241"/>
      <c r="BF148" s="205"/>
      <c r="BG148" s="205"/>
      <c r="BH148" s="205"/>
      <c r="BI148" s="205"/>
      <c r="BJ148" s="205"/>
      <c r="BK148" s="205"/>
      <c r="BL148" s="205"/>
      <c r="BM148" s="205"/>
      <c r="BN148" s="205"/>
      <c r="BO148" s="205"/>
      <c r="BP148" s="205"/>
      <c r="BQ148" s="205"/>
      <c r="BR148" s="205"/>
      <c r="BS148" s="205"/>
      <c r="BT148" s="205"/>
      <c r="BU148" s="205"/>
      <c r="BV148" s="205"/>
      <c r="BW148" s="205"/>
      <c r="BX148" s="241"/>
      <c r="BY148" s="205"/>
      <c r="BZ148" s="205"/>
      <c r="CA148" s="205"/>
      <c r="CB148" s="241"/>
      <c r="CC148" s="205"/>
      <c r="CD148" s="205"/>
      <c r="CE148" s="205"/>
      <c r="CF148" s="205"/>
      <c r="CG148" s="205"/>
      <c r="CH148" s="205"/>
      <c r="CI148" s="205"/>
      <c r="CJ148" s="205"/>
      <c r="CK148" s="205"/>
      <c r="CL148" s="205"/>
      <c r="CM148" s="205"/>
      <c r="CN148" s="205"/>
      <c r="CO148" s="205"/>
      <c r="CP148" s="205"/>
      <c r="CQ148" s="205"/>
      <c r="CR148" s="205"/>
      <c r="CS148" s="205"/>
      <c r="CT148" s="205"/>
      <c r="CU148" s="205"/>
      <c r="CV148" s="205"/>
      <c r="CW148" s="205"/>
      <c r="CX148" s="205"/>
      <c r="CY148" s="205"/>
      <c r="CZ148" s="205"/>
      <c r="DA148" s="205"/>
      <c r="DB148" s="205"/>
      <c r="DC148" s="205"/>
      <c r="DD148" s="205"/>
      <c r="DE148" s="205"/>
      <c r="DF148" s="205"/>
      <c r="DG148" s="205"/>
      <c r="DH148" s="205"/>
      <c r="DI148" s="205"/>
    </row>
    <row r="149" customFormat="false" ht="22.5" hidden="false" customHeight="false" outlineLevel="0" collapsed="false">
      <c r="A149" s="205"/>
      <c r="B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AT149" s="205"/>
      <c r="AU149" s="205"/>
      <c r="AV149" s="239"/>
      <c r="AW149" s="205"/>
      <c r="AX149" s="205"/>
      <c r="AY149" s="205"/>
      <c r="AZ149" s="205"/>
      <c r="BA149" s="241"/>
      <c r="BB149" s="205"/>
      <c r="BC149" s="205"/>
      <c r="BD149" s="205"/>
      <c r="BE149" s="241"/>
      <c r="BF149" s="205"/>
      <c r="BG149" s="205"/>
      <c r="BH149" s="205"/>
      <c r="BI149" s="205"/>
      <c r="BJ149" s="205"/>
      <c r="BK149" s="205"/>
      <c r="BL149" s="205"/>
      <c r="BM149" s="205"/>
      <c r="BN149" s="205"/>
      <c r="BO149" s="205"/>
      <c r="BP149" s="205"/>
      <c r="BQ149" s="205"/>
      <c r="BR149" s="205"/>
      <c r="BS149" s="205"/>
      <c r="BT149" s="205"/>
      <c r="BU149" s="205"/>
      <c r="BV149" s="205"/>
      <c r="BW149" s="205"/>
      <c r="BX149" s="241"/>
      <c r="BY149" s="205"/>
      <c r="BZ149" s="205"/>
      <c r="CA149" s="205"/>
      <c r="CB149" s="241"/>
      <c r="CC149" s="205"/>
      <c r="CD149" s="205"/>
      <c r="CE149" s="205"/>
      <c r="CF149" s="205"/>
      <c r="CG149" s="205"/>
      <c r="CH149" s="205"/>
      <c r="CI149" s="205"/>
      <c r="CJ149" s="205"/>
      <c r="CK149" s="205"/>
      <c r="CL149" s="205"/>
      <c r="CM149" s="205"/>
      <c r="CN149" s="205"/>
      <c r="CO149" s="205"/>
      <c r="CP149" s="205"/>
      <c r="CQ149" s="205"/>
      <c r="CR149" s="205"/>
      <c r="CS149" s="205"/>
      <c r="CT149" s="205"/>
      <c r="CU149" s="205"/>
      <c r="CV149" s="205"/>
      <c r="CW149" s="205"/>
      <c r="CX149" s="205"/>
      <c r="CY149" s="205"/>
      <c r="CZ149" s="205"/>
      <c r="DA149" s="205"/>
      <c r="DB149" s="205"/>
      <c r="DC149" s="205"/>
      <c r="DD149" s="205"/>
      <c r="DE149" s="205"/>
      <c r="DF149" s="205"/>
      <c r="DG149" s="205"/>
      <c r="DH149" s="205"/>
      <c r="DI149" s="205"/>
    </row>
    <row r="150" customFormat="false" ht="22.5" hidden="false" customHeight="false" outlineLevel="0" collapsed="false">
      <c r="A150" s="205"/>
      <c r="B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AT150" s="205"/>
      <c r="AU150" s="205"/>
      <c r="AV150" s="239"/>
      <c r="AW150" s="205"/>
      <c r="AX150" s="205"/>
      <c r="AY150" s="205"/>
      <c r="AZ150" s="205"/>
      <c r="BA150" s="241"/>
      <c r="BB150" s="205"/>
      <c r="BC150" s="205"/>
      <c r="BD150" s="205"/>
      <c r="BE150" s="241"/>
      <c r="BF150" s="205"/>
      <c r="BG150" s="205"/>
      <c r="BH150" s="205"/>
      <c r="BI150" s="205"/>
      <c r="BJ150" s="205"/>
      <c r="BK150" s="205"/>
      <c r="BL150" s="205"/>
      <c r="BM150" s="205"/>
      <c r="BN150" s="205"/>
      <c r="BO150" s="205"/>
      <c r="BP150" s="205"/>
      <c r="BQ150" s="205"/>
      <c r="BR150" s="205"/>
      <c r="BS150" s="205"/>
      <c r="BT150" s="205"/>
      <c r="BU150" s="205"/>
      <c r="BV150" s="205"/>
      <c r="BW150" s="205"/>
      <c r="BX150" s="241"/>
      <c r="BY150" s="205"/>
      <c r="BZ150" s="205"/>
      <c r="CA150" s="205"/>
      <c r="CB150" s="241"/>
      <c r="CC150" s="205"/>
      <c r="CD150" s="205"/>
      <c r="CE150" s="205"/>
      <c r="CF150" s="205"/>
      <c r="CG150" s="205"/>
      <c r="CH150" s="205"/>
      <c r="CI150" s="205"/>
      <c r="CJ150" s="205"/>
      <c r="CK150" s="205"/>
      <c r="CL150" s="205"/>
      <c r="CM150" s="205"/>
      <c r="CN150" s="205"/>
      <c r="CO150" s="205"/>
      <c r="CP150" s="205"/>
      <c r="CQ150" s="205"/>
      <c r="CR150" s="205"/>
      <c r="CS150" s="205"/>
      <c r="CT150" s="205"/>
      <c r="CU150" s="205"/>
      <c r="CV150" s="205"/>
      <c r="CW150" s="205"/>
      <c r="CX150" s="205"/>
      <c r="CY150" s="205"/>
      <c r="CZ150" s="205"/>
      <c r="DA150" s="205"/>
      <c r="DB150" s="205"/>
      <c r="DC150" s="205"/>
      <c r="DD150" s="205"/>
      <c r="DE150" s="205"/>
      <c r="DF150" s="205"/>
      <c r="DG150" s="205"/>
      <c r="DH150" s="205"/>
      <c r="DI150" s="205"/>
      <c r="DJ150" s="205"/>
    </row>
    <row r="151" customFormat="false" ht="22.5" hidden="false" customHeight="false" outlineLevel="0" collapsed="false">
      <c r="A151" s="205"/>
      <c r="B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AT151" s="205"/>
      <c r="AU151" s="205"/>
      <c r="AV151" s="239"/>
      <c r="AW151" s="205"/>
      <c r="AX151" s="205"/>
      <c r="AY151" s="205"/>
      <c r="AZ151" s="205"/>
      <c r="BA151" s="241"/>
      <c r="BB151" s="205"/>
      <c r="BC151" s="205"/>
      <c r="BD151" s="205"/>
      <c r="BE151" s="241"/>
      <c r="BF151" s="205"/>
      <c r="BG151" s="205"/>
      <c r="BH151" s="205"/>
      <c r="BI151" s="205"/>
      <c r="BJ151" s="205"/>
      <c r="BK151" s="205"/>
      <c r="BL151" s="205"/>
      <c r="BM151" s="205"/>
      <c r="BN151" s="205"/>
      <c r="BO151" s="205"/>
      <c r="BP151" s="205"/>
      <c r="BQ151" s="205"/>
      <c r="BR151" s="205"/>
      <c r="BS151" s="205"/>
      <c r="BT151" s="205"/>
      <c r="BU151" s="205"/>
      <c r="BV151" s="205"/>
      <c r="BW151" s="205"/>
      <c r="BX151" s="241"/>
      <c r="BY151" s="205"/>
      <c r="BZ151" s="205"/>
      <c r="CA151" s="205"/>
      <c r="CB151" s="241"/>
      <c r="CC151" s="205"/>
      <c r="CD151" s="205"/>
      <c r="CE151" s="205"/>
      <c r="CF151" s="205"/>
      <c r="CG151" s="205"/>
      <c r="CH151" s="205"/>
      <c r="CI151" s="205"/>
      <c r="CJ151" s="205"/>
      <c r="CK151" s="205"/>
      <c r="CL151" s="205"/>
      <c r="CM151" s="205"/>
      <c r="CN151" s="205"/>
      <c r="CO151" s="205"/>
      <c r="CP151" s="205"/>
      <c r="CQ151" s="205"/>
      <c r="CR151" s="205"/>
      <c r="CS151" s="205"/>
      <c r="CT151" s="205"/>
      <c r="CU151" s="205"/>
      <c r="CV151" s="205"/>
      <c r="CW151" s="205"/>
      <c r="CX151" s="205"/>
      <c r="CY151" s="205"/>
      <c r="CZ151" s="205"/>
      <c r="DA151" s="205"/>
      <c r="DB151" s="205"/>
      <c r="DC151" s="205"/>
      <c r="DD151" s="205"/>
      <c r="DE151" s="205"/>
      <c r="DF151" s="205"/>
      <c r="DG151" s="205"/>
      <c r="DH151" s="205"/>
      <c r="DI151" s="205"/>
      <c r="DJ151" s="205"/>
    </row>
    <row r="152" customFormat="false" ht="22.5" hidden="false" customHeight="false" outlineLevel="0" collapsed="false">
      <c r="A152" s="205"/>
      <c r="B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AT152" s="205"/>
      <c r="AU152" s="205"/>
      <c r="AV152" s="239"/>
      <c r="AW152" s="205"/>
      <c r="AX152" s="205"/>
      <c r="AY152" s="205"/>
      <c r="AZ152" s="205"/>
      <c r="BA152" s="241"/>
      <c r="BB152" s="205"/>
      <c r="BC152" s="205"/>
      <c r="BD152" s="205"/>
      <c r="BE152" s="241"/>
      <c r="BF152" s="205"/>
      <c r="BG152" s="205"/>
      <c r="BH152" s="205"/>
      <c r="BI152" s="205"/>
      <c r="BJ152" s="205"/>
      <c r="BK152" s="205"/>
      <c r="BL152" s="205"/>
      <c r="BM152" s="205"/>
      <c r="BN152" s="205"/>
      <c r="BO152" s="205"/>
      <c r="BP152" s="205"/>
      <c r="BQ152" s="205"/>
      <c r="BR152" s="205"/>
      <c r="BS152" s="205"/>
      <c r="BT152" s="205"/>
      <c r="BU152" s="205"/>
      <c r="BV152" s="205"/>
      <c r="BW152" s="205"/>
      <c r="BX152" s="241"/>
      <c r="BY152" s="205"/>
      <c r="BZ152" s="205"/>
      <c r="CA152" s="205"/>
      <c r="CB152" s="241"/>
      <c r="CC152" s="205"/>
      <c r="CD152" s="205"/>
      <c r="CE152" s="205"/>
      <c r="CF152" s="205"/>
      <c r="CG152" s="205"/>
      <c r="CH152" s="205"/>
      <c r="CI152" s="205"/>
      <c r="CJ152" s="205"/>
      <c r="CK152" s="205"/>
      <c r="CL152" s="205"/>
      <c r="CM152" s="205"/>
      <c r="CN152" s="205"/>
      <c r="CO152" s="205"/>
      <c r="CP152" s="205"/>
      <c r="CQ152" s="205"/>
      <c r="CR152" s="205"/>
      <c r="CS152" s="205"/>
      <c r="CT152" s="205"/>
      <c r="CU152" s="205"/>
      <c r="CV152" s="205"/>
      <c r="CW152" s="205"/>
      <c r="CX152" s="205"/>
      <c r="CY152" s="205"/>
      <c r="CZ152" s="205"/>
      <c r="DA152" s="205"/>
      <c r="DB152" s="205"/>
      <c r="DC152" s="205"/>
      <c r="DD152" s="205"/>
      <c r="DE152" s="205"/>
      <c r="DF152" s="205"/>
      <c r="DG152" s="205"/>
      <c r="DH152" s="205"/>
      <c r="DI152" s="205"/>
      <c r="DJ152" s="205"/>
    </row>
    <row r="153" customFormat="false" ht="22.5" hidden="false" customHeight="false" outlineLevel="0" collapsed="false">
      <c r="A153" s="205"/>
      <c r="B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617"/>
      <c r="AT153" s="205"/>
      <c r="AU153" s="205"/>
      <c r="AV153" s="239"/>
      <c r="AW153" s="205"/>
      <c r="AX153" s="205"/>
      <c r="AY153" s="205"/>
      <c r="AZ153" s="205"/>
      <c r="BA153" s="241"/>
      <c r="BB153" s="205"/>
      <c r="BC153" s="205"/>
      <c r="BD153" s="205"/>
      <c r="BE153" s="241"/>
      <c r="BF153" s="205"/>
      <c r="BG153" s="205"/>
      <c r="BH153" s="205"/>
      <c r="BI153" s="205"/>
      <c r="BJ153" s="205"/>
      <c r="BK153" s="205"/>
      <c r="BL153" s="205"/>
      <c r="BM153" s="205"/>
      <c r="BN153" s="205"/>
      <c r="BO153" s="205"/>
      <c r="BP153" s="205"/>
      <c r="BQ153" s="205"/>
      <c r="BR153" s="205"/>
      <c r="BS153" s="205"/>
      <c r="BT153" s="205"/>
      <c r="BU153" s="205"/>
      <c r="BV153" s="205"/>
      <c r="BW153" s="205"/>
      <c r="BX153" s="241"/>
      <c r="BY153" s="205"/>
      <c r="BZ153" s="205"/>
      <c r="CA153" s="205"/>
      <c r="CB153" s="241"/>
      <c r="CC153" s="205"/>
      <c r="CD153" s="205"/>
      <c r="CE153" s="205"/>
      <c r="CF153" s="205"/>
      <c r="CG153" s="205"/>
      <c r="CH153" s="205"/>
      <c r="CI153" s="205"/>
      <c r="CJ153" s="205"/>
      <c r="CK153" s="205"/>
      <c r="CL153" s="205"/>
      <c r="CM153" s="205"/>
      <c r="CN153" s="64"/>
      <c r="CO153" s="205"/>
      <c r="CP153" s="205"/>
      <c r="CQ153" s="205"/>
      <c r="CR153" s="205"/>
      <c r="CS153" s="205"/>
      <c r="CT153" s="205"/>
      <c r="CU153" s="205"/>
      <c r="CV153" s="205"/>
      <c r="CW153" s="205"/>
      <c r="CX153" s="205"/>
      <c r="CY153" s="205"/>
      <c r="CZ153" s="205"/>
      <c r="DA153" s="205"/>
      <c r="DB153" s="205"/>
      <c r="DC153" s="205"/>
      <c r="DD153" s="205"/>
      <c r="DE153" s="205"/>
      <c r="DF153" s="205"/>
      <c r="DG153" s="205"/>
      <c r="DH153" s="205"/>
      <c r="DI153" s="205"/>
      <c r="DJ153" s="205"/>
    </row>
    <row r="154" customFormat="false" ht="22.5" hidden="false" customHeight="false" outlineLevel="0" collapsed="false">
      <c r="A154" s="64"/>
      <c r="B154" s="64"/>
      <c r="C154" s="64"/>
      <c r="D154" s="242"/>
      <c r="E154" s="242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205"/>
      <c r="X154" s="483"/>
      <c r="Y154" s="483"/>
      <c r="Z154" s="483"/>
      <c r="AA154" s="483"/>
      <c r="AB154" s="483"/>
      <c r="AC154" s="483"/>
      <c r="AD154" s="483"/>
      <c r="AE154" s="483"/>
      <c r="AF154" s="483"/>
      <c r="AG154" s="483"/>
      <c r="AH154" s="483"/>
      <c r="AI154" s="483"/>
      <c r="AJ154" s="483"/>
      <c r="AK154" s="483"/>
      <c r="AL154" s="483"/>
      <c r="AM154" s="483"/>
      <c r="AN154" s="483"/>
      <c r="AO154" s="483"/>
      <c r="AP154" s="483"/>
      <c r="AQ154" s="483"/>
      <c r="AR154" s="483"/>
      <c r="AS154" s="483"/>
      <c r="AT154" s="205"/>
      <c r="AU154" s="64"/>
      <c r="AV154" s="243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483"/>
      <c r="DL154" s="483"/>
      <c r="DM154" s="483"/>
      <c r="DN154" s="483"/>
      <c r="DO154" s="483"/>
    </row>
    <row r="155" customFormat="false" ht="24.45" hidden="false" customHeight="false" outlineLevel="0" collapsed="false">
      <c r="A155" s="69" t="s">
        <v>500</v>
      </c>
      <c r="B155" s="70"/>
      <c r="C155" s="71" t="s">
        <v>30</v>
      </c>
      <c r="D155" s="72" t="e">
        <f aca="false">0.5*(L155+M155+N155)+O155+Q155+2*(R155+S155)</f>
        <v>#VALUE!</v>
      </c>
      <c r="E155" s="73" t="e">
        <f aca="false">L155*0.5+M155*0.5+N155*0.5+O155+P155+Q155+2*(R155+S155+T155)</f>
        <v>#VALUE!</v>
      </c>
      <c r="F155" s="70"/>
      <c r="G155" s="70"/>
      <c r="H155" s="70"/>
      <c r="I155" s="70"/>
      <c r="J155" s="70"/>
      <c r="K155" s="70"/>
      <c r="L155" s="74" t="e">
        <f aca="false">SUMIFS(L8:L171,C8:C171,C155)</f>
        <v>#VALUE!</v>
      </c>
      <c r="M155" s="74" t="e">
        <f aca="false">SUMIFS(M8:M171,C8:C171,C155)</f>
        <v>#VALUE!</v>
      </c>
      <c r="N155" s="74" t="e">
        <f aca="false">SUMIFS(N8:N171,C8:C171,C155)</f>
        <v>#VALUE!</v>
      </c>
      <c r="O155" s="74" t="e">
        <f aca="false">SUMIFS(O8:O171,C8:C171,C155)</f>
        <v>#VALUE!</v>
      </c>
      <c r="P155" s="74" t="e">
        <f aca="false">SUMIFS(P8:P171,C8:C171,C155)</f>
        <v>#VALUE!</v>
      </c>
      <c r="Q155" s="74" t="e">
        <f aca="false">SUMIFS(Q8:Q171,C8:C171,C155)</f>
        <v>#VALUE!</v>
      </c>
      <c r="R155" s="74" t="e">
        <f aca="false">SUMIFS(R8:R171,C8:C171,C155)</f>
        <v>#VALUE!</v>
      </c>
      <c r="S155" s="74" t="e">
        <f aca="false">SUMIFS(S8:S171,C8:C171,C155)</f>
        <v>#VALUE!</v>
      </c>
      <c r="T155" s="74" t="e">
        <f aca="false">SUMIFS(T8:T171,C8:C171,C155)</f>
        <v>#VALUE!</v>
      </c>
      <c r="U155" s="75"/>
      <c r="V155" s="76" t="n">
        <f aca="false">SUM(U8:U180)</f>
        <v>60</v>
      </c>
      <c r="W155" s="205"/>
      <c r="AT155" s="484"/>
      <c r="AU155" s="69" t="s">
        <v>208</v>
      </c>
      <c r="AV155" s="70" t="s">
        <v>501</v>
      </c>
      <c r="AW155" s="71" t="s">
        <v>30</v>
      </c>
      <c r="AX155" s="72" t="n">
        <f aca="false">0.5*(BF155+BG155+BH155)+BI155+BK155+2*(BL155+BM155)</f>
        <v>11</v>
      </c>
      <c r="AY155" s="73" t="n">
        <f aca="false">BF155*0.5+BG155*0.5+BH155*0.5+BI155+BJ155+BK155+2*(BL155+BM155+BN155)</f>
        <v>12</v>
      </c>
      <c r="AZ155" s="70"/>
      <c r="BA155" s="70"/>
      <c r="BB155" s="70"/>
      <c r="BC155" s="70"/>
      <c r="BD155" s="70"/>
      <c r="BE155" s="70"/>
      <c r="BF155" s="74" t="n">
        <f aca="false">SUMIFS(BF159:BF177,AW159:AW177,AW155)</f>
        <v>0</v>
      </c>
      <c r="BG155" s="74" t="n">
        <f aca="false">SUMIFS(BG159:BG177,AW159:AW177,AW155)</f>
        <v>0</v>
      </c>
      <c r="BH155" s="74" t="n">
        <f aca="false">SUMIFS(BH159:BH177,AW159:AW177,AW155)</f>
        <v>0</v>
      </c>
      <c r="BI155" s="74" t="n">
        <f aca="false">SUMIFS(BI159:BI177,AW159:AW177,AW155)</f>
        <v>1</v>
      </c>
      <c r="BJ155" s="74" t="n">
        <f aca="false">SUMIFS(BJ159:BJ177,AW159:AW177,AW155)</f>
        <v>1</v>
      </c>
      <c r="BK155" s="74" t="n">
        <f aca="false">SUMIFS(BK159:BK177,AW159:AW177,AW155)</f>
        <v>0</v>
      </c>
      <c r="BL155" s="74" t="n">
        <f aca="false">SUMIFS(BL159:BL177,AW159:AW177,AW155)</f>
        <v>5</v>
      </c>
      <c r="BM155" s="74" t="n">
        <f aca="false">SUMIFS(BM159:BM177,AW159:AW177,AW155)</f>
        <v>0</v>
      </c>
      <c r="BN155" s="74" t="n">
        <f aca="false">SUMIFS(BN159:BN177,AW159:AW177,AW155)</f>
        <v>0</v>
      </c>
      <c r="BO155" s="75"/>
      <c r="BP155" s="76" t="n">
        <f aca="false">SUM(BO157:BO177)</f>
        <v>7</v>
      </c>
      <c r="BQ155" s="484"/>
      <c r="BR155" s="69" t="s">
        <v>206</v>
      </c>
      <c r="BS155" s="70" t="s">
        <v>207</v>
      </c>
      <c r="BT155" s="71" t="s">
        <v>30</v>
      </c>
      <c r="BU155" s="72" t="n">
        <f aca="false">0.5*(CC155+CD155+CE155)+CF155+CH155+2*(CI155+CJ155)</f>
        <v>0</v>
      </c>
      <c r="BV155" s="73" t="n">
        <f aca="false">CC155*0.5+CD155*0.5+CE155*0.5+CF155+CG155+CH155+2*(CI155+CJ155+CK155)</f>
        <v>0</v>
      </c>
      <c r="BW155" s="70"/>
      <c r="BX155" s="87"/>
      <c r="BY155" s="70"/>
      <c r="BZ155" s="70"/>
      <c r="CA155" s="70"/>
      <c r="CB155" s="87"/>
      <c r="CC155" s="74"/>
      <c r="CD155" s="74"/>
      <c r="CE155" s="74"/>
      <c r="CF155" s="74"/>
      <c r="CG155" s="74"/>
      <c r="CH155" s="74"/>
      <c r="CI155" s="74"/>
      <c r="CJ155" s="74"/>
      <c r="CK155" s="74"/>
      <c r="CL155" s="75"/>
      <c r="CM155" s="76" t="n">
        <f aca="false">SUM(CL8:CL178)</f>
        <v>91</v>
      </c>
      <c r="CN155" s="484"/>
      <c r="CO155" s="69" t="s">
        <v>500</v>
      </c>
      <c r="CP155" s="70"/>
      <c r="CQ155" s="71" t="s">
        <v>30</v>
      </c>
      <c r="CR155" s="72" t="e">
        <f aca="false">0.5*(CZ155+DA155+DB155)+DC155+DE155+2*(DF155+DG155)</f>
        <v>#VALUE!</v>
      </c>
      <c r="CS155" s="73" t="e">
        <f aca="false">CZ155*0.5+DA155*0.5+DB155*0.5+DC155+DD155+DE155+2*(DF155+DG155+DH155)</f>
        <v>#VALUE!</v>
      </c>
      <c r="CT155" s="70"/>
      <c r="CU155" s="70"/>
      <c r="CV155" s="70"/>
      <c r="CW155" s="70"/>
      <c r="CX155" s="70"/>
      <c r="CY155" s="70"/>
      <c r="CZ155" s="74" t="e">
        <f aca="false">SUMIFS(CZ140:CZ186,CQ140:CQ186,CQ155)</f>
        <v>#VALUE!</v>
      </c>
      <c r="DA155" s="74" t="e">
        <f aca="false">SUMIFS(DA140:DA186,CQ140:CQ186,CQ155)</f>
        <v>#VALUE!</v>
      </c>
      <c r="DB155" s="74" t="e">
        <f aca="false">SUMIFS(DB140:DB186,CQ140:CQ186,CQ155)</f>
        <v>#VALUE!</v>
      </c>
      <c r="DC155" s="74" t="e">
        <f aca="false">SUMIFS(DC140:DC186,CQ140:CQ186,CQ155)</f>
        <v>#VALUE!</v>
      </c>
      <c r="DD155" s="74" t="e">
        <f aca="false">SUMIFS(DD140:DD186,CQ140:CQ186,CQ155)</f>
        <v>#VALUE!</v>
      </c>
      <c r="DE155" s="74" t="e">
        <f aca="false">SUMIFS(DE140:DE186,CQ140:CQ186,CQ155)</f>
        <v>#VALUE!</v>
      </c>
      <c r="DF155" s="74" t="e">
        <f aca="false">SUMIFS(DF140:DF186,CQ140:CQ186,CQ155)</f>
        <v>#VALUE!</v>
      </c>
      <c r="DG155" s="74" t="e">
        <f aca="false">SUMIFS(DG140:DG186,CQ140:CQ186,CQ155)</f>
        <v>#VALUE!</v>
      </c>
      <c r="DH155" s="74" t="e">
        <f aca="false">SUMIFS(DH140:DH186,CQ140:CQ186,CQ155)</f>
        <v>#VALUE!</v>
      </c>
      <c r="DI155" s="75"/>
      <c r="DJ155" s="76" t="n">
        <f aca="false">SUM(DI140:DI185)</f>
        <v>0</v>
      </c>
    </row>
    <row r="156" customFormat="false" ht="24.45" hidden="false" customHeight="false" outlineLevel="0" collapsed="false">
      <c r="A156" s="69" t="s">
        <v>211</v>
      </c>
      <c r="B156" s="87"/>
      <c r="C156" s="71" t="s">
        <v>36</v>
      </c>
      <c r="D156" s="72" t="e">
        <f aca="false">0.5*(L156+M156+N156)+O156+Q156+2*(R156+S156)</f>
        <v>#VALUE!</v>
      </c>
      <c r="E156" s="73" t="e">
        <f aca="false">L156*0.5+M156*0.5+N156*0.5+O156+P156+Q156+2*(R156+S156+T156)</f>
        <v>#VALUE!</v>
      </c>
      <c r="F156" s="70"/>
      <c r="G156" s="70"/>
      <c r="H156" s="70"/>
      <c r="I156" s="70"/>
      <c r="J156" s="70"/>
      <c r="K156" s="70"/>
      <c r="L156" s="74" t="e">
        <f aca="false">SUMIFS(L8:L171,C8:C171,C156)</f>
        <v>#VALUE!</v>
      </c>
      <c r="M156" s="74" t="e">
        <f aca="false">SUMIFS(M8:M171,C8:C171,C156)</f>
        <v>#VALUE!</v>
      </c>
      <c r="N156" s="74" t="e">
        <f aca="false">SUMIFS(N8:N171,C8:C171,C156)</f>
        <v>#VALUE!</v>
      </c>
      <c r="O156" s="74" t="e">
        <f aca="false">SUMIFS(O8:O171,C8:C171,C156)</f>
        <v>#VALUE!</v>
      </c>
      <c r="P156" s="74" t="e">
        <f aca="false">SUMIFS(P8:P171,C8:C171,C156)</f>
        <v>#VALUE!</v>
      </c>
      <c r="Q156" s="74" t="e">
        <f aca="false">SUMIFS(Q8:Q171,C8:C171,C156)</f>
        <v>#VALUE!</v>
      </c>
      <c r="R156" s="74" t="e">
        <f aca="false">SUMIFS(R8:R171,C8:C171,C156)</f>
        <v>#VALUE!</v>
      </c>
      <c r="S156" s="74" t="e">
        <f aca="false">SUMIFS(S8:S171,C8:C171,C156)</f>
        <v>#VALUE!</v>
      </c>
      <c r="T156" s="74" t="e">
        <f aca="false">SUMIFS(T8:T171,C8:C171,C156)</f>
        <v>#VALUE!</v>
      </c>
      <c r="U156" s="75"/>
      <c r="V156" s="76"/>
      <c r="W156" s="205"/>
      <c r="AT156" s="2"/>
      <c r="AU156" s="69" t="s">
        <v>211</v>
      </c>
      <c r="AV156" s="91"/>
      <c r="AW156" s="71" t="s">
        <v>36</v>
      </c>
      <c r="AX156" s="72" t="n">
        <f aca="false">0.5*(BF156+BG156+BH156)+BI156+BK156+2*(BL156+BM156)</f>
        <v>0</v>
      </c>
      <c r="AY156" s="73" t="n">
        <f aca="false">BF156*0.5+BG156*0.5+BH156*0.5+BI156+BJ156+BK156+2*(BL156+BM156+BN156)</f>
        <v>0</v>
      </c>
      <c r="AZ156" s="70"/>
      <c r="BA156" s="70"/>
      <c r="BB156" s="70"/>
      <c r="BC156" s="70"/>
      <c r="BD156" s="70"/>
      <c r="BE156" s="70"/>
      <c r="BF156" s="74" t="n">
        <f aca="false">SUMIFS(BF159:BF177,AW159:AW177,AW156)</f>
        <v>0</v>
      </c>
      <c r="BG156" s="74" t="n">
        <f aca="false">SUMIFS(BG159:BG177,AW159:AW177,AW156)</f>
        <v>0</v>
      </c>
      <c r="BH156" s="74" t="n">
        <f aca="false">SUMIFS(BH159:BH177,AW159:AW177,AW156)</f>
        <v>0</v>
      </c>
      <c r="BI156" s="74" t="n">
        <f aca="false">SUMIFS(BI159:BI177,AW159:AW177,AW156)</f>
        <v>0</v>
      </c>
      <c r="BJ156" s="74" t="n">
        <f aca="false">SUMIFS(BJ159:BJ177,AW159:AW177,AW156)</f>
        <v>0</v>
      </c>
      <c r="BK156" s="74" t="n">
        <f aca="false">SUMIFS(BK159:BK177,AW159:AW177,AW156)</f>
        <v>0</v>
      </c>
      <c r="BL156" s="74" t="n">
        <f aca="false">SUMIFS(BL159:BL177,AW159:AW177,AW156)</f>
        <v>0</v>
      </c>
      <c r="BM156" s="74" t="n">
        <f aca="false">SUMIFS(BM159:BM177,AW159:AW177,AW156)</f>
        <v>0</v>
      </c>
      <c r="BN156" s="74" t="n">
        <f aca="false">SUMIFS(BN159:BN177,AW159:AW177,AW156)</f>
        <v>0</v>
      </c>
      <c r="BO156" s="75"/>
      <c r="BP156" s="76"/>
      <c r="BQ156" s="2"/>
      <c r="BR156" s="69" t="s">
        <v>210</v>
      </c>
      <c r="BS156" s="70"/>
      <c r="BT156" s="71" t="s">
        <v>36</v>
      </c>
      <c r="BU156" s="72" t="n">
        <f aca="false">0.5*(CC156+CD156+CE156)+CF156+CH156+2*(CI156+CJ156)</f>
        <v>0</v>
      </c>
      <c r="BV156" s="73" t="n">
        <f aca="false">CC156*0.5+CD156*0.5+CE156*0.5+CF156+CG156+CH156+2*(CI156+CJ156+CK156)</f>
        <v>0</v>
      </c>
      <c r="BW156" s="70"/>
      <c r="BX156" s="87"/>
      <c r="BY156" s="70"/>
      <c r="BZ156" s="70"/>
      <c r="CA156" s="70"/>
      <c r="CB156" s="87"/>
      <c r="CC156" s="74"/>
      <c r="CD156" s="74"/>
      <c r="CE156" s="74"/>
      <c r="CF156" s="74"/>
      <c r="CG156" s="74"/>
      <c r="CH156" s="74"/>
      <c r="CI156" s="74"/>
      <c r="CJ156" s="74"/>
      <c r="CK156" s="74"/>
      <c r="CL156" s="75"/>
      <c r="CM156" s="76"/>
      <c r="CN156" s="205"/>
      <c r="CO156" s="618" t="s">
        <v>211</v>
      </c>
      <c r="CP156" s="70"/>
      <c r="CQ156" s="71" t="s">
        <v>36</v>
      </c>
      <c r="CR156" s="72" t="e">
        <f aca="false">0.5*(CZ156+DA156+DB156)+DC156+DE156+2*(DF156+DG156)</f>
        <v>#VALUE!</v>
      </c>
      <c r="CS156" s="73" t="e">
        <f aca="false">CZ156*0.5+DA156*0.5+DB156*0.5+DC156+DD156+DE156+2*(DF156+DG156+DH156)</f>
        <v>#VALUE!</v>
      </c>
      <c r="CT156" s="70"/>
      <c r="CU156" s="70"/>
      <c r="CV156" s="70"/>
      <c r="CW156" s="70"/>
      <c r="CX156" s="70"/>
      <c r="CY156" s="70"/>
      <c r="CZ156" s="74" t="e">
        <f aca="false">SUMIFS(CZ140:CZ186,CQ140:CQ186,CQ156)</f>
        <v>#VALUE!</v>
      </c>
      <c r="DA156" s="74" t="e">
        <f aca="false">SUMIFS(DA140:DA186,CQ140:CQ186,CQ156)</f>
        <v>#VALUE!</v>
      </c>
      <c r="DB156" s="74" t="e">
        <f aca="false">SUMIFS(DB140:DB186,CQ140:CQ186,CQ156)</f>
        <v>#VALUE!</v>
      </c>
      <c r="DC156" s="74" t="e">
        <f aca="false">SUMIFS(DC140:DC186,CQ140:CQ186,CQ156)</f>
        <v>#VALUE!</v>
      </c>
      <c r="DD156" s="74" t="e">
        <f aca="false">SUMIFS(DD140:DD186,CQ140:CQ186,CQ156)</f>
        <v>#VALUE!</v>
      </c>
      <c r="DE156" s="74" t="e">
        <f aca="false">SUMIFS(DE140:DE186,CQ140:CQ186,CQ156)</f>
        <v>#VALUE!</v>
      </c>
      <c r="DF156" s="74" t="e">
        <f aca="false">SUMIFS(DF140:DF186,CQ140:CQ186,CQ156)</f>
        <v>#VALUE!</v>
      </c>
      <c r="DG156" s="74" t="e">
        <f aca="false">SUMIFS(DG140:DG186,CQ140:CQ186,CQ156)</f>
        <v>#VALUE!</v>
      </c>
      <c r="DH156" s="74" t="e">
        <f aca="false">SUMIFS(DH140:DH186,CQ140:CQ186,CQ156)</f>
        <v>#VALUE!</v>
      </c>
      <c r="DI156" s="75"/>
      <c r="DJ156" s="76"/>
    </row>
    <row r="157" customFormat="false" ht="192.75" hidden="false" customHeight="true" outlineLevel="0" collapsed="false">
      <c r="W157" s="205"/>
      <c r="AT157" s="2"/>
      <c r="AU157" s="619" t="s">
        <v>502</v>
      </c>
      <c r="AV157" s="393" t="s">
        <v>503</v>
      </c>
      <c r="AW157" s="118" t="s">
        <v>30</v>
      </c>
      <c r="AX157" s="118" t="n">
        <f aca="false">0.5*(BF157+BG157+BH157)+BI157+BK157+2*(BL157+BM157)</f>
        <v>0</v>
      </c>
      <c r="AY157" s="118" t="n">
        <f aca="false">BF157*0.5+BG157*0.5+BH157*0.5+BI157+BJ157+BK157+2*(BL157+BM157+BN157)</f>
        <v>4</v>
      </c>
      <c r="AZ157" s="299"/>
      <c r="BA157" s="149" t="s">
        <v>70</v>
      </c>
      <c r="BB157" s="119"/>
      <c r="BC157" s="283" t="s">
        <v>48</v>
      </c>
      <c r="BD157" s="119"/>
      <c r="BE157" s="119" t="s">
        <v>504</v>
      </c>
      <c r="BF157" s="119"/>
      <c r="BG157" s="119"/>
      <c r="BH157" s="119"/>
      <c r="BI157" s="119"/>
      <c r="BJ157" s="119"/>
      <c r="BK157" s="119"/>
      <c r="BL157" s="119"/>
      <c r="BM157" s="119"/>
      <c r="BN157" s="101" t="n">
        <v>2</v>
      </c>
      <c r="BO157" s="620" t="n">
        <v>0.5</v>
      </c>
      <c r="BP157" s="119"/>
      <c r="BQ157" s="205"/>
      <c r="BR157" s="231" t="s">
        <v>107</v>
      </c>
      <c r="BS157" s="93" t="s">
        <v>505</v>
      </c>
      <c r="BT157" s="118" t="s">
        <v>30</v>
      </c>
      <c r="BU157" s="95" t="n">
        <f aca="false">0.5*(CC157+CD157+CE157)+CF157+CH157+2*(CI157+CJ157)</f>
        <v>0</v>
      </c>
      <c r="BV157" s="95" t="n">
        <f aca="false">CC157*0.5+CD157*0.5+CE157*0.5+CF157+CG157+CH157+2*(CI157+CJ157+CK157)</f>
        <v>0</v>
      </c>
      <c r="BW157" s="142"/>
      <c r="BX157" s="621" t="s">
        <v>51</v>
      </c>
      <c r="BY157" s="114" t="s">
        <v>506</v>
      </c>
      <c r="BZ157" s="193"/>
      <c r="CA157" s="153"/>
      <c r="CB157" s="98" t="s">
        <v>507</v>
      </c>
      <c r="CC157" s="133"/>
      <c r="CD157" s="133"/>
      <c r="CE157" s="144"/>
      <c r="CF157" s="622"/>
      <c r="CG157" s="144"/>
      <c r="CH157" s="622"/>
      <c r="CI157" s="622"/>
      <c r="CJ157" s="622"/>
      <c r="CK157" s="133"/>
      <c r="CL157" s="221" t="n">
        <v>1</v>
      </c>
      <c r="CM157" s="413" t="s">
        <v>416</v>
      </c>
      <c r="CN157" s="205"/>
      <c r="CO157" s="205"/>
      <c r="CP157" s="205"/>
      <c r="CQ157" s="205"/>
      <c r="CR157" s="205"/>
      <c r="CS157" s="205"/>
      <c r="CT157" s="205"/>
      <c r="CU157" s="205"/>
      <c r="CV157" s="205"/>
      <c r="CW157" s="205"/>
      <c r="CX157" s="205"/>
      <c r="CY157" s="205"/>
      <c r="CZ157" s="205"/>
      <c r="DA157" s="205"/>
      <c r="DB157" s="205"/>
      <c r="DC157" s="205"/>
      <c r="DD157" s="205"/>
      <c r="DE157" s="205"/>
      <c r="DF157" s="205"/>
      <c r="DG157" s="205"/>
      <c r="DH157" s="205"/>
      <c r="DI157" s="205"/>
      <c r="DJ157" s="205"/>
      <c r="DK157" s="14"/>
    </row>
    <row r="158" customFormat="false" ht="151.5" hidden="false" customHeight="true" outlineLevel="0" collapsed="false">
      <c r="W158" s="205"/>
      <c r="AT158" s="2"/>
      <c r="AU158" s="619" t="s">
        <v>502</v>
      </c>
      <c r="AV158" s="393" t="s">
        <v>508</v>
      </c>
      <c r="AW158" s="118" t="s">
        <v>30</v>
      </c>
      <c r="AX158" s="118" t="n">
        <f aca="false">0.5*(BF158+BG158+BH158)+BI158+BK158+2*(BL158+BM158)</f>
        <v>1</v>
      </c>
      <c r="AY158" s="118" t="n">
        <f aca="false">BF158*0.5+BG158*0.5+BH158*0.5+BI158+BJ158+BK158+2*(BL158+BM158+BN158)</f>
        <v>1</v>
      </c>
      <c r="AZ158" s="299"/>
      <c r="BA158" s="149" t="s">
        <v>42</v>
      </c>
      <c r="BB158" s="119"/>
      <c r="BC158" s="283" t="s">
        <v>48</v>
      </c>
      <c r="BD158" s="119"/>
      <c r="BE158" s="119" t="s">
        <v>157</v>
      </c>
      <c r="BF158" s="119"/>
      <c r="BG158" s="119"/>
      <c r="BH158" s="119"/>
      <c r="BI158" s="100" t="n">
        <v>1</v>
      </c>
      <c r="BJ158" s="119"/>
      <c r="BK158" s="119"/>
      <c r="BL158" s="119"/>
      <c r="BM158" s="119"/>
      <c r="BN158" s="119"/>
      <c r="BO158" s="620" t="n">
        <v>0.5</v>
      </c>
      <c r="BP158" s="119"/>
      <c r="BQ158" s="205"/>
      <c r="BR158" s="231" t="s">
        <v>107</v>
      </c>
      <c r="BS158" s="93" t="s">
        <v>509</v>
      </c>
      <c r="BT158" s="94" t="s">
        <v>30</v>
      </c>
      <c r="BU158" s="95" t="n">
        <f aca="false">0.5*(CC158+CD158+CE158)+CF158+CH158+2*(CI158+CJ158)</f>
        <v>0</v>
      </c>
      <c r="BV158" s="95" t="n">
        <f aca="false">CC158*0.5+CD158*0.5+CE158*0.5+CF158+CG158+CH158+2*(CI158+CJ158+CK158)</f>
        <v>0</v>
      </c>
      <c r="BW158" s="142"/>
      <c r="BX158" s="7" t="s">
        <v>42</v>
      </c>
      <c r="BY158" s="7"/>
      <c r="BZ158" s="7"/>
      <c r="CA158" s="50"/>
      <c r="CB158" s="50" t="s">
        <v>510</v>
      </c>
      <c r="CC158" s="99"/>
      <c r="CD158" s="99"/>
      <c r="CE158" s="99"/>
      <c r="CF158" s="99"/>
      <c r="CG158" s="99"/>
      <c r="CH158" s="99"/>
      <c r="CI158" s="99"/>
      <c r="CJ158" s="99"/>
      <c r="CK158" s="99"/>
      <c r="CL158" s="108" t="n">
        <v>1</v>
      </c>
      <c r="CM158" s="413" t="s">
        <v>416</v>
      </c>
      <c r="CN158" s="205"/>
      <c r="CO158" s="205"/>
      <c r="CP158" s="205"/>
      <c r="CQ158" s="205"/>
      <c r="CR158" s="205"/>
      <c r="CS158" s="205"/>
      <c r="CT158" s="205"/>
      <c r="CU158" s="205"/>
      <c r="CV158" s="205"/>
      <c r="CW158" s="205"/>
      <c r="CX158" s="205"/>
      <c r="CY158" s="205"/>
      <c r="CZ158" s="205"/>
      <c r="DA158" s="205"/>
      <c r="DB158" s="205"/>
      <c r="DC158" s="205"/>
      <c r="DD158" s="205"/>
      <c r="DE158" s="205"/>
      <c r="DF158" s="205"/>
      <c r="DG158" s="205"/>
      <c r="DH158" s="205"/>
      <c r="DI158" s="205"/>
      <c r="DJ158" s="205"/>
    </row>
    <row r="159" customFormat="false" ht="184.5" hidden="false" customHeight="true" outlineLevel="0" collapsed="false">
      <c r="W159" s="205"/>
      <c r="AT159" s="2"/>
      <c r="AU159" s="623" t="s">
        <v>511</v>
      </c>
      <c r="AV159" s="195" t="s">
        <v>512</v>
      </c>
      <c r="AW159" s="118" t="s">
        <v>30</v>
      </c>
      <c r="AX159" s="118" t="n">
        <f aca="false">0.5*(BF159+BG159+BH159)+BI159+BK159+2*(BL159+BM159)</f>
        <v>9</v>
      </c>
      <c r="AY159" s="118" t="n">
        <f aca="false">BF159*0.5+BG159*0.5+BH159*0.5+BI159+BJ159+BK159+2*(BL159+BM159+BN159)</f>
        <v>10</v>
      </c>
      <c r="AZ159" s="7" t="e">
        <f aca="false">#VALUE!</f>
        <v>#VALUE!</v>
      </c>
      <c r="BA159" s="7" t="s">
        <v>70</v>
      </c>
      <c r="BB159" s="179"/>
      <c r="BC159" s="107" t="s">
        <v>48</v>
      </c>
      <c r="BD159" s="50"/>
      <c r="BE159" s="50" t="s">
        <v>513</v>
      </c>
      <c r="BF159" s="266"/>
      <c r="BG159" s="266"/>
      <c r="BH159" s="266"/>
      <c r="BI159" s="346" t="n">
        <v>1</v>
      </c>
      <c r="BJ159" s="101" t="n">
        <v>1</v>
      </c>
      <c r="BK159" s="266"/>
      <c r="BL159" s="346" t="n">
        <v>4</v>
      </c>
      <c r="BM159" s="266"/>
      <c r="BN159" s="266"/>
      <c r="BO159" s="620" t="n">
        <v>1</v>
      </c>
      <c r="BP159" s="119"/>
      <c r="BQ159" s="205"/>
      <c r="BR159" s="231" t="s">
        <v>107</v>
      </c>
      <c r="BS159" s="355" t="s">
        <v>514</v>
      </c>
      <c r="BT159" s="118" t="s">
        <v>30</v>
      </c>
      <c r="BU159" s="95" t="n">
        <f aca="false">0.5*(CC159+CD159+CE159)+CF159+CH159+2*(CI159+CJ159)</f>
        <v>0</v>
      </c>
      <c r="BV159" s="95" t="n">
        <f aca="false">CC159*0.5+CD159*0.5+CE159*0.5+CF159+CG159+CH159+2*(CI159+CJ159+CK159)</f>
        <v>0</v>
      </c>
      <c r="BW159" s="624"/>
      <c r="BX159" s="7" t="s">
        <v>42</v>
      </c>
      <c r="BY159" s="233"/>
      <c r="BZ159" s="233"/>
      <c r="CA159" s="233"/>
      <c r="CB159" s="340" t="s">
        <v>230</v>
      </c>
      <c r="CC159" s="235"/>
      <c r="CD159" s="235"/>
      <c r="CE159" s="235"/>
      <c r="CF159" s="235"/>
      <c r="CG159" s="235"/>
      <c r="CH159" s="235"/>
      <c r="CI159" s="235"/>
      <c r="CJ159" s="235"/>
      <c r="CK159" s="235"/>
      <c r="CL159" s="236" t="n">
        <v>1</v>
      </c>
      <c r="CM159" s="413" t="s">
        <v>416</v>
      </c>
      <c r="CN159" s="205"/>
      <c r="CO159" s="205"/>
      <c r="CP159" s="205"/>
      <c r="CQ159" s="205"/>
      <c r="CR159" s="205"/>
      <c r="CS159" s="205"/>
      <c r="CT159" s="205"/>
      <c r="CU159" s="205"/>
      <c r="CV159" s="205"/>
      <c r="CW159" s="205"/>
      <c r="CX159" s="205"/>
      <c r="CY159" s="205"/>
      <c r="CZ159" s="205"/>
      <c r="DA159" s="205"/>
      <c r="DB159" s="205"/>
      <c r="DC159" s="205"/>
      <c r="DD159" s="205"/>
      <c r="DE159" s="205"/>
      <c r="DF159" s="205"/>
      <c r="DG159" s="205"/>
      <c r="DH159" s="205"/>
      <c r="DI159" s="205"/>
      <c r="DJ159" s="205"/>
    </row>
    <row r="160" customFormat="false" ht="110.8" hidden="false" customHeight="false" outlineLevel="0" collapsed="false">
      <c r="W160" s="205"/>
      <c r="AT160" s="2"/>
      <c r="AU160" s="623" t="s">
        <v>511</v>
      </c>
      <c r="AV160" s="195" t="s">
        <v>515</v>
      </c>
      <c r="AW160" s="118" t="s">
        <v>30</v>
      </c>
      <c r="AX160" s="118" t="n">
        <f aca="false">0.5*(BF160+BG160+BH160)+BI160+BK160+2*(BL160+BM160)</f>
        <v>2</v>
      </c>
      <c r="AY160" s="118" t="n">
        <f aca="false">BF160*0.5+BG160*0.5+BH160*0.5+BI160+BJ160+BK160+2*(BL160+BM160+BN160)</f>
        <v>2</v>
      </c>
      <c r="AZ160" s="625" t="e">
        <f aca="false">#VALUE!</f>
        <v>#VALUE!</v>
      </c>
      <c r="BA160" s="7" t="s">
        <v>70</v>
      </c>
      <c r="BB160" s="179"/>
      <c r="BC160" s="107" t="s">
        <v>48</v>
      </c>
      <c r="BD160" s="50"/>
      <c r="BE160" s="7" t="s">
        <v>110</v>
      </c>
      <c r="BF160" s="626"/>
      <c r="BG160" s="626"/>
      <c r="BH160" s="626"/>
      <c r="BI160" s="626"/>
      <c r="BJ160" s="626"/>
      <c r="BK160" s="626"/>
      <c r="BL160" s="255" t="n">
        <v>1</v>
      </c>
      <c r="BM160" s="626"/>
      <c r="BN160" s="626"/>
      <c r="BO160" s="620" t="n">
        <v>1</v>
      </c>
      <c r="BP160" s="119"/>
      <c r="BQ160" s="205"/>
      <c r="BR160" s="231" t="s">
        <v>107</v>
      </c>
      <c r="BS160" s="93" t="s">
        <v>516</v>
      </c>
      <c r="BT160" s="118" t="s">
        <v>30</v>
      </c>
      <c r="BU160" s="95" t="n">
        <f aca="false">0.5*(CC160+CD160+CE160)+CF160+CH160+2*(CI160+CJ160)</f>
        <v>0</v>
      </c>
      <c r="BV160" s="95" t="n">
        <f aca="false">CC160*0.5+CD160*0.5+CE160*0.5+CF160+CG160+CH160+2*(CI160+CJ160+CK160)</f>
        <v>0</v>
      </c>
      <c r="BW160" s="152"/>
      <c r="BX160" s="7" t="s">
        <v>70</v>
      </c>
      <c r="BY160" s="7"/>
      <c r="BZ160" s="176" t="s">
        <v>48</v>
      </c>
      <c r="CA160" s="50"/>
      <c r="CB160" s="50" t="s">
        <v>517</v>
      </c>
      <c r="CC160" s="99"/>
      <c r="CD160" s="99"/>
      <c r="CE160" s="99"/>
      <c r="CF160" s="99"/>
      <c r="CG160" s="99"/>
      <c r="CH160" s="99"/>
      <c r="CI160" s="99"/>
      <c r="CJ160" s="99"/>
      <c r="CK160" s="99"/>
      <c r="CL160" s="108" t="n">
        <v>1</v>
      </c>
      <c r="CM160" s="413" t="s">
        <v>416</v>
      </c>
      <c r="CN160" s="205"/>
      <c r="CO160" s="205"/>
      <c r="CP160" s="205"/>
      <c r="CQ160" s="205"/>
      <c r="CR160" s="205"/>
      <c r="CS160" s="205"/>
      <c r="CT160" s="205"/>
      <c r="CU160" s="205"/>
      <c r="CV160" s="205"/>
      <c r="CW160" s="205"/>
      <c r="CX160" s="205"/>
      <c r="CY160" s="205"/>
      <c r="CZ160" s="205"/>
      <c r="DA160" s="205"/>
      <c r="DB160" s="205"/>
      <c r="DC160" s="205"/>
      <c r="DD160" s="205"/>
      <c r="DE160" s="205"/>
      <c r="DF160" s="205"/>
      <c r="DG160" s="205"/>
      <c r="DH160" s="205"/>
      <c r="DI160" s="205"/>
      <c r="DJ160" s="205"/>
    </row>
    <row r="161" customFormat="false" ht="252.4" hidden="false" customHeight="false" outlineLevel="0" collapsed="false">
      <c r="W161" s="205"/>
      <c r="AT161" s="205"/>
      <c r="AU161" s="247" t="s">
        <v>100</v>
      </c>
      <c r="AV161" s="522" t="s">
        <v>518</v>
      </c>
      <c r="AW161" s="118" t="s">
        <v>30</v>
      </c>
      <c r="AX161" s="118" t="n">
        <f aca="false">0.5*(BF161+BG161+BH161)+BI161+BK161+2*(BL161+BM161)</f>
        <v>0</v>
      </c>
      <c r="AY161" s="118" t="n">
        <f aca="false">BF161*0.5+BG161*0.5+BH161*0.5+BI161+BJ161+BK161+2*(BL161+BM161+BN161)</f>
        <v>0</v>
      </c>
      <c r="AZ161" s="299"/>
      <c r="BA161" s="292" t="s">
        <v>42</v>
      </c>
      <c r="BB161" s="186"/>
      <c r="BC161" s="186"/>
      <c r="BD161" s="186"/>
      <c r="BE161" s="290" t="s">
        <v>88</v>
      </c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251" t="n">
        <v>1</v>
      </c>
      <c r="BP161" s="151" t="s">
        <v>61</v>
      </c>
      <c r="BQ161" s="205"/>
      <c r="BR161" s="231" t="s">
        <v>107</v>
      </c>
      <c r="BS161" s="147" t="s">
        <v>519</v>
      </c>
      <c r="BT161" s="118" t="s">
        <v>30</v>
      </c>
      <c r="BU161" s="95" t="n">
        <f aca="false">0.5*(CC161+CD161+CE161)+CF161+CH161+2*(CI161+CJ161)</f>
        <v>0</v>
      </c>
      <c r="BV161" s="95" t="n">
        <f aca="false">CC161*0.5+CD161*0.5+CE161*0.5+CF161+CG161+CH161+2*(CI161+CJ161+CK161)</f>
        <v>0</v>
      </c>
      <c r="BW161" s="149" t="e">
        <f aca="false">#VALUE!</f>
        <v>#VALUE!</v>
      </c>
      <c r="BX161" s="7" t="s">
        <v>51</v>
      </c>
      <c r="BY161" s="103"/>
      <c r="BZ161" s="107" t="s">
        <v>48</v>
      </c>
      <c r="CA161" s="149"/>
      <c r="CB161" s="119" t="s">
        <v>520</v>
      </c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02" t="n">
        <v>1</v>
      </c>
      <c r="CM161" s="413" t="s">
        <v>416</v>
      </c>
      <c r="CN161" s="205"/>
      <c r="CO161" s="205"/>
      <c r="CP161" s="205"/>
      <c r="CQ161" s="205"/>
      <c r="CR161" s="205"/>
      <c r="CS161" s="205"/>
      <c r="CT161" s="205"/>
      <c r="CU161" s="205"/>
      <c r="CV161" s="205"/>
      <c r="CW161" s="205"/>
      <c r="CX161" s="205"/>
      <c r="CY161" s="205"/>
      <c r="CZ161" s="205"/>
      <c r="DA161" s="205"/>
      <c r="DB161" s="205"/>
      <c r="DC161" s="205"/>
      <c r="DD161" s="205"/>
      <c r="DE161" s="205"/>
      <c r="DF161" s="205"/>
      <c r="DG161" s="205"/>
      <c r="DH161" s="205"/>
      <c r="DI161" s="205"/>
      <c r="DJ161" s="205"/>
    </row>
    <row r="162" customFormat="false" ht="252.4" hidden="false" customHeight="false" outlineLevel="0" collapsed="false">
      <c r="W162" s="205"/>
      <c r="AT162" s="205"/>
      <c r="AU162" s="247" t="s">
        <v>100</v>
      </c>
      <c r="AV162" s="522" t="s">
        <v>521</v>
      </c>
      <c r="AW162" s="118" t="s">
        <v>30</v>
      </c>
      <c r="AX162" s="118" t="n">
        <f aca="false">0.5*(BF162+BG162+BH162)+BI162+BK162+2*(BL162+BM162)</f>
        <v>0</v>
      </c>
      <c r="AY162" s="118" t="n">
        <f aca="false">BF162*0.5+BG162*0.5+BH162*0.5+BI162+BJ162+BK162+2*(BL162+BM162+BN162)</f>
        <v>0</v>
      </c>
      <c r="AZ162" s="299"/>
      <c r="BA162" s="292" t="s">
        <v>42</v>
      </c>
      <c r="BB162" s="186"/>
      <c r="BC162" s="186"/>
      <c r="BD162" s="186"/>
      <c r="BE162" s="290" t="s">
        <v>88</v>
      </c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251" t="n">
        <v>1</v>
      </c>
      <c r="BP162" s="151" t="s">
        <v>61</v>
      </c>
      <c r="BQ162" s="205"/>
      <c r="BR162" s="231" t="s">
        <v>107</v>
      </c>
      <c r="BS162" s="147" t="s">
        <v>522</v>
      </c>
      <c r="BT162" s="118" t="s">
        <v>30</v>
      </c>
      <c r="BU162" s="95" t="n">
        <f aca="false">0.5*(CC162+CD162+CE162)+CF162+CH162+2*(CI162+CJ162)</f>
        <v>0</v>
      </c>
      <c r="BV162" s="95" t="n">
        <f aca="false">CC162*0.5+CD162*0.5+CE162*0.5+CF162+CG162+CH162+2*(CI162+CJ162+CK162)</f>
        <v>0</v>
      </c>
      <c r="BW162" s="149" t="e">
        <f aca="false">#VALUE!</f>
        <v>#VALUE!</v>
      </c>
      <c r="BX162" s="7" t="s">
        <v>42</v>
      </c>
      <c r="BY162" s="103"/>
      <c r="BZ162" s="107" t="s">
        <v>48</v>
      </c>
      <c r="CA162" s="149"/>
      <c r="CB162" s="119" t="s">
        <v>523</v>
      </c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02" t="n">
        <v>1</v>
      </c>
      <c r="CM162" s="413" t="s">
        <v>416</v>
      </c>
      <c r="CN162" s="205"/>
      <c r="CO162" s="205"/>
      <c r="CP162" s="205"/>
      <c r="CQ162" s="205"/>
      <c r="CR162" s="205"/>
      <c r="CS162" s="205"/>
      <c r="CT162" s="205"/>
      <c r="CU162" s="205"/>
      <c r="CV162" s="205"/>
      <c r="CW162" s="205"/>
      <c r="CX162" s="205"/>
      <c r="CY162" s="205"/>
      <c r="CZ162" s="205"/>
      <c r="DA162" s="205"/>
      <c r="DB162" s="205"/>
      <c r="DC162" s="205"/>
      <c r="DD162" s="205"/>
      <c r="DE162" s="205"/>
      <c r="DF162" s="205"/>
      <c r="DG162" s="205"/>
      <c r="DH162" s="205"/>
      <c r="DI162" s="205"/>
      <c r="DJ162" s="205"/>
    </row>
    <row r="163" customFormat="false" ht="210" hidden="false" customHeight="true" outlineLevel="0" collapsed="false">
      <c r="W163" s="205"/>
      <c r="AT163" s="205"/>
      <c r="AU163" s="247" t="s">
        <v>100</v>
      </c>
      <c r="AV163" s="105" t="s">
        <v>524</v>
      </c>
      <c r="AW163" s="118" t="s">
        <v>30</v>
      </c>
      <c r="AX163" s="118" t="n">
        <f aca="false">0.5*(BF163+BG163+BH163)+BI163+BK163+2*(BL163+BM163)</f>
        <v>0</v>
      </c>
      <c r="AY163" s="118" t="n">
        <f aca="false">BF163*0.5+BG163*0.5+BH163*0.5+BI163+BJ163+BK163+2*(BL163+BM163+BN163)</f>
        <v>0</v>
      </c>
      <c r="AZ163" s="297"/>
      <c r="BA163" s="7" t="s">
        <v>42</v>
      </c>
      <c r="BC163" s="103"/>
      <c r="BD163" s="168"/>
      <c r="BE163" s="50" t="s">
        <v>525</v>
      </c>
      <c r="BJ163" s="305"/>
      <c r="BO163" s="251" t="n">
        <v>1</v>
      </c>
      <c r="BP163" s="151" t="s">
        <v>61</v>
      </c>
      <c r="BQ163" s="205"/>
      <c r="BR163" s="231" t="s">
        <v>107</v>
      </c>
      <c r="BS163" s="93" t="s">
        <v>526</v>
      </c>
      <c r="BT163" s="118" t="s">
        <v>30</v>
      </c>
      <c r="BU163" s="95" t="n">
        <f aca="false">0.5*(CC163+CD163+CE163)+CF163+CH163+2*(CI163+CJ163)</f>
        <v>0</v>
      </c>
      <c r="BV163" s="95" t="n">
        <f aca="false">CC163*0.5+CD163*0.5+CE163*0.5+CF163+CG163+CH163+2*(CI163+CJ163+CK163)</f>
        <v>0</v>
      </c>
      <c r="BW163" s="152"/>
      <c r="BX163" s="7" t="s">
        <v>78</v>
      </c>
      <c r="BY163" s="7"/>
      <c r="BZ163" s="7"/>
      <c r="CA163" s="50"/>
      <c r="CB163" s="50" t="s">
        <v>527</v>
      </c>
      <c r="CC163" s="196"/>
      <c r="CD163" s="196"/>
      <c r="CE163" s="196"/>
      <c r="CF163" s="196"/>
      <c r="CG163" s="196"/>
      <c r="CH163" s="196"/>
      <c r="CI163" s="196"/>
      <c r="CJ163" s="196"/>
      <c r="CK163" s="196"/>
      <c r="CL163" s="108" t="n">
        <v>1</v>
      </c>
      <c r="CM163" s="413" t="s">
        <v>416</v>
      </c>
      <c r="CN163" s="205"/>
      <c r="CO163" s="205"/>
      <c r="CP163" s="205"/>
      <c r="CQ163" s="205"/>
      <c r="CR163" s="205"/>
      <c r="CS163" s="205"/>
      <c r="CT163" s="205"/>
      <c r="CU163" s="205"/>
      <c r="CV163" s="205"/>
      <c r="CW163" s="205"/>
      <c r="CX163" s="205"/>
      <c r="CY163" s="205"/>
      <c r="CZ163" s="205"/>
      <c r="DA163" s="205"/>
      <c r="DB163" s="205"/>
      <c r="DC163" s="205"/>
      <c r="DD163" s="205"/>
      <c r="DE163" s="205"/>
      <c r="DF163" s="205"/>
      <c r="DG163" s="205"/>
      <c r="DH163" s="205"/>
      <c r="DI163" s="205"/>
      <c r="DJ163" s="205"/>
    </row>
    <row r="164" customFormat="false" ht="192" hidden="false" customHeight="true" outlineLevel="0" collapsed="false">
      <c r="W164" s="205"/>
      <c r="AT164" s="205"/>
      <c r="AU164" s="247" t="s">
        <v>100</v>
      </c>
      <c r="AV164" s="105" t="s">
        <v>528</v>
      </c>
      <c r="AW164" s="118" t="s">
        <v>30</v>
      </c>
      <c r="AX164" s="118" t="n">
        <f aca="false">0.5*(BF164+BG164+BH164)+BI164+BK164+2*(BL164+BM164)</f>
        <v>0</v>
      </c>
      <c r="AY164" s="118" t="n">
        <f aca="false">BF164*0.5+BG164*0.5+BH164*0.5+BI164+BJ164+BK164+2*(BL164+BM164+BN164)</f>
        <v>0</v>
      </c>
      <c r="AZ164" s="297"/>
      <c r="BA164" s="158" t="s">
        <v>65</v>
      </c>
      <c r="BB164" s="159" t="s">
        <v>66</v>
      </c>
      <c r="BC164" s="103"/>
      <c r="BD164" s="168"/>
      <c r="BE164" s="119" t="s">
        <v>88</v>
      </c>
      <c r="BF164" s="119"/>
      <c r="BG164" s="119"/>
      <c r="BH164" s="119"/>
      <c r="BI164" s="119"/>
      <c r="BJ164" s="119"/>
      <c r="BK164" s="119"/>
      <c r="BL164" s="119"/>
      <c r="BM164" s="119"/>
      <c r="BN164" s="119"/>
      <c r="BO164" s="251" t="n">
        <v>1</v>
      </c>
      <c r="BP164" s="151" t="s">
        <v>61</v>
      </c>
      <c r="BQ164" s="205"/>
      <c r="BR164" s="231" t="s">
        <v>107</v>
      </c>
      <c r="BS164" s="93" t="s">
        <v>529</v>
      </c>
      <c r="BT164" s="118" t="s">
        <v>30</v>
      </c>
      <c r="BU164" s="95" t="n">
        <f aca="false">0.5*(CC164+CD164+CE164)+CF164+CH164+2*(CI164+CJ164)</f>
        <v>0</v>
      </c>
      <c r="BV164" s="95" t="n">
        <f aca="false">CC164*0.5+CD164*0.5+CE164*0.5+CF164+CG164+CH164+2*(CI164+CJ164+CK164)</f>
        <v>0</v>
      </c>
      <c r="BW164" s="164"/>
      <c r="BX164" s="7" t="s">
        <v>42</v>
      </c>
      <c r="BY164" s="166"/>
      <c r="BZ164" s="166"/>
      <c r="CA164" s="50"/>
      <c r="CB164" s="50"/>
      <c r="CC164" s="99"/>
      <c r="CD164" s="99"/>
      <c r="CE164" s="99"/>
      <c r="CF164" s="99"/>
      <c r="CG164" s="99"/>
      <c r="CH164" s="99"/>
      <c r="CI164" s="99"/>
      <c r="CJ164" s="99"/>
      <c r="CK164" s="99"/>
      <c r="CL164" s="108" t="n">
        <v>1</v>
      </c>
      <c r="CM164" s="413" t="s">
        <v>416</v>
      </c>
      <c r="CN164" s="205"/>
      <c r="CO164" s="205"/>
      <c r="CP164" s="205"/>
      <c r="CQ164" s="205"/>
      <c r="CR164" s="205"/>
      <c r="CS164" s="205"/>
      <c r="CT164" s="205"/>
      <c r="CU164" s="205"/>
      <c r="CV164" s="205"/>
      <c r="CW164" s="205"/>
      <c r="CX164" s="205"/>
      <c r="CY164" s="205"/>
      <c r="CZ164" s="205"/>
      <c r="DA164" s="205"/>
      <c r="DB164" s="205"/>
      <c r="DC164" s="205"/>
      <c r="DD164" s="205"/>
      <c r="DE164" s="205"/>
      <c r="DF164" s="205"/>
      <c r="DG164" s="205"/>
      <c r="DH164" s="205"/>
      <c r="DI164" s="205"/>
      <c r="DJ164" s="205"/>
    </row>
    <row r="165" customFormat="false" ht="243" hidden="false" customHeight="true" outlineLevel="0" collapsed="false">
      <c r="W165" s="205"/>
      <c r="AT165" s="205"/>
      <c r="AU165" s="205"/>
      <c r="AV165" s="239"/>
      <c r="AW165" s="205"/>
      <c r="AX165" s="205"/>
      <c r="AY165" s="205"/>
      <c r="AZ165" s="205"/>
      <c r="BA165" s="241"/>
      <c r="BB165" s="205"/>
      <c r="BC165" s="205"/>
      <c r="BD165" s="205"/>
      <c r="BE165" s="241"/>
      <c r="BF165" s="205"/>
      <c r="BG165" s="205"/>
      <c r="BH165" s="205"/>
      <c r="BI165" s="205"/>
      <c r="BJ165" s="205"/>
      <c r="BK165" s="205"/>
      <c r="BL165" s="205"/>
      <c r="BM165" s="205"/>
      <c r="BN165" s="205"/>
      <c r="BO165" s="205"/>
      <c r="BP165" s="205"/>
      <c r="BQ165" s="205"/>
      <c r="BR165" s="231" t="s">
        <v>107</v>
      </c>
      <c r="BS165" s="93" t="s">
        <v>530</v>
      </c>
      <c r="BT165" s="118" t="s">
        <v>30</v>
      </c>
      <c r="BU165" s="95" t="n">
        <f aca="false">0.5*(CC165+CD165+CE165)+CF165+CH165+2*(CI165+CJ165)</f>
        <v>0</v>
      </c>
      <c r="BV165" s="95" t="n">
        <f aca="false">CC165*0.5+CD165*0.5+CE165*0.5+CF165+CG165+CH165+2*(CI165+CJ165+CK165)</f>
        <v>0</v>
      </c>
      <c r="BW165" s="152"/>
      <c r="BX165" s="7" t="s">
        <v>42</v>
      </c>
      <c r="BY165" s="97"/>
      <c r="BZ165" s="259"/>
      <c r="CA165" s="153"/>
      <c r="CB165" s="153" t="s">
        <v>531</v>
      </c>
      <c r="CC165" s="99"/>
      <c r="CD165" s="99"/>
      <c r="CE165" s="99"/>
      <c r="CF165" s="99"/>
      <c r="CG165" s="99"/>
      <c r="CH165" s="99"/>
      <c r="CI165" s="99"/>
      <c r="CJ165" s="99"/>
      <c r="CK165" s="99"/>
      <c r="CL165" s="108" t="n">
        <v>1</v>
      </c>
      <c r="CM165" s="413" t="s">
        <v>416</v>
      </c>
      <c r="CN165" s="205"/>
      <c r="CO165" s="205"/>
      <c r="CP165" s="205"/>
      <c r="CQ165" s="205"/>
      <c r="CR165" s="205"/>
      <c r="CS165" s="205"/>
      <c r="CT165" s="205"/>
      <c r="CU165" s="205"/>
      <c r="CV165" s="205"/>
      <c r="CW165" s="205"/>
      <c r="CX165" s="205"/>
      <c r="CY165" s="205"/>
      <c r="CZ165" s="205"/>
      <c r="DA165" s="205"/>
      <c r="DB165" s="205"/>
      <c r="DC165" s="205"/>
      <c r="DD165" s="205"/>
      <c r="DE165" s="205"/>
      <c r="DF165" s="205"/>
      <c r="DG165" s="205"/>
      <c r="DH165" s="205"/>
      <c r="DI165" s="205"/>
      <c r="DJ165" s="205"/>
    </row>
    <row r="166" customFormat="false" ht="76.5" hidden="false" customHeight="false" outlineLevel="0" collapsed="false">
      <c r="W166" s="205"/>
      <c r="AT166" s="205"/>
      <c r="AU166" s="205"/>
      <c r="AV166" s="239"/>
      <c r="AW166" s="205"/>
      <c r="AX166" s="205"/>
      <c r="AY166" s="205"/>
      <c r="AZ166" s="205"/>
      <c r="BA166" s="241"/>
      <c r="BB166" s="205"/>
      <c r="BC166" s="205"/>
      <c r="BD166" s="205"/>
      <c r="BE166" s="241"/>
      <c r="BF166" s="205"/>
      <c r="BG166" s="205"/>
      <c r="BH166" s="205"/>
      <c r="BI166" s="205"/>
      <c r="BJ166" s="205"/>
      <c r="BK166" s="205"/>
      <c r="BL166" s="205"/>
      <c r="BM166" s="205"/>
      <c r="BN166" s="205"/>
      <c r="BO166" s="205"/>
      <c r="BP166" s="205"/>
      <c r="BQ166" s="205"/>
      <c r="BR166" s="231" t="s">
        <v>107</v>
      </c>
      <c r="BS166" s="355" t="s">
        <v>532</v>
      </c>
      <c r="BT166" s="118" t="s">
        <v>30</v>
      </c>
      <c r="BU166" s="95" t="n">
        <f aca="false">0.5*(CC166+CD166+CE166)+CF166+CH166+2*(CI166+CJ166)</f>
        <v>0</v>
      </c>
      <c r="BV166" s="95" t="n">
        <f aca="false">CC166*0.5+CD166*0.5+CE166*0.5+CF166+CG166+CH166+2*(CI166+CJ166+CK166)</f>
        <v>0</v>
      </c>
      <c r="BW166" s="356"/>
      <c r="BX166" s="7" t="s">
        <v>42</v>
      </c>
      <c r="BY166" s="233"/>
      <c r="BZ166" s="233"/>
      <c r="CA166" s="233"/>
      <c r="CB166" s="233" t="s">
        <v>230</v>
      </c>
      <c r="CC166" s="235"/>
      <c r="CD166" s="235"/>
      <c r="CE166" s="235"/>
      <c r="CF166" s="235"/>
      <c r="CG166" s="235"/>
      <c r="CH166" s="235"/>
      <c r="CI166" s="235"/>
      <c r="CJ166" s="235"/>
      <c r="CK166" s="235"/>
      <c r="CL166" s="236" t="n">
        <v>1</v>
      </c>
      <c r="CM166" s="413" t="s">
        <v>416</v>
      </c>
      <c r="CN166" s="205"/>
      <c r="CO166" s="205"/>
      <c r="CP166" s="205"/>
      <c r="CQ166" s="205"/>
      <c r="CR166" s="205"/>
      <c r="CS166" s="205"/>
      <c r="CT166" s="205"/>
      <c r="CU166" s="205"/>
      <c r="CV166" s="205"/>
      <c r="CW166" s="205"/>
      <c r="CX166" s="205"/>
      <c r="CY166" s="205"/>
      <c r="CZ166" s="205"/>
      <c r="DA166" s="205"/>
      <c r="DB166" s="205"/>
      <c r="DC166" s="205"/>
      <c r="DD166" s="205"/>
      <c r="DE166" s="205"/>
      <c r="DF166" s="205"/>
      <c r="DG166" s="205"/>
      <c r="DH166" s="205"/>
      <c r="DI166" s="205"/>
      <c r="DJ166" s="205"/>
      <c r="DK166" s="126"/>
      <c r="DL166" s="126"/>
      <c r="DM166" s="126"/>
    </row>
    <row r="167" customFormat="false" ht="186.75" hidden="false" customHeight="true" outlineLevel="0" collapsed="false">
      <c r="W167" s="205"/>
      <c r="AT167" s="205"/>
      <c r="AU167" s="205"/>
      <c r="AV167" s="239"/>
      <c r="AW167" s="205"/>
      <c r="AX167" s="205"/>
      <c r="AY167" s="205"/>
      <c r="AZ167" s="205"/>
      <c r="BA167" s="241"/>
      <c r="BB167" s="205"/>
      <c r="BC167" s="205"/>
      <c r="BD167" s="205"/>
      <c r="BE167" s="241"/>
      <c r="BF167" s="205"/>
      <c r="BG167" s="205"/>
      <c r="BH167" s="205"/>
      <c r="BI167" s="205"/>
      <c r="BJ167" s="205"/>
      <c r="BK167" s="205"/>
      <c r="BL167" s="205"/>
      <c r="BM167" s="205"/>
      <c r="BN167" s="205"/>
      <c r="BO167" s="205"/>
      <c r="BP167" s="205"/>
      <c r="BQ167" s="205"/>
      <c r="BR167" s="231" t="s">
        <v>107</v>
      </c>
      <c r="BS167" s="93" t="s">
        <v>533</v>
      </c>
      <c r="BT167" s="94" t="s">
        <v>30</v>
      </c>
      <c r="BU167" s="95" t="n">
        <f aca="false">0.5*(CC167+CD167+CE167)+CF167+CH167+2*(CI167+CJ167)</f>
        <v>0</v>
      </c>
      <c r="BV167" s="95" t="n">
        <f aca="false">CC167*0.5+CD167*0.5+CE167*0.5+CF167+CG167+CH167+2*(CI167+CJ167+CK167)</f>
        <v>0</v>
      </c>
      <c r="BW167" s="142"/>
      <c r="BX167" s="7" t="s">
        <v>42</v>
      </c>
      <c r="BY167" s="7"/>
      <c r="BZ167" s="7"/>
      <c r="CA167" s="50"/>
      <c r="CB167" s="50" t="s">
        <v>534</v>
      </c>
      <c r="CC167" s="99"/>
      <c r="CD167" s="99"/>
      <c r="CE167" s="99"/>
      <c r="CF167" s="174"/>
      <c r="CG167" s="196"/>
      <c r="CH167" s="265"/>
      <c r="CI167" s="99"/>
      <c r="CJ167" s="99"/>
      <c r="CK167" s="99"/>
      <c r="CL167" s="108" t="n">
        <v>1</v>
      </c>
      <c r="CM167" s="413" t="s">
        <v>416</v>
      </c>
      <c r="CN167" s="205"/>
      <c r="CO167" s="205"/>
      <c r="CP167" s="205"/>
      <c r="CQ167" s="205"/>
      <c r="CR167" s="205"/>
      <c r="CS167" s="205"/>
      <c r="CT167" s="205"/>
      <c r="CU167" s="205"/>
      <c r="CV167" s="205"/>
      <c r="CW167" s="205"/>
      <c r="CX167" s="205"/>
      <c r="CY167" s="205"/>
      <c r="CZ167" s="205"/>
      <c r="DA167" s="205"/>
      <c r="DB167" s="205"/>
      <c r="DC167" s="205"/>
      <c r="DD167" s="205"/>
      <c r="DE167" s="205"/>
      <c r="DF167" s="205"/>
      <c r="DG167" s="205"/>
      <c r="DH167" s="205"/>
      <c r="DI167" s="205"/>
      <c r="DJ167" s="205"/>
    </row>
    <row r="168" customFormat="false" ht="95.15" hidden="false" customHeight="false" outlineLevel="0" collapsed="false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205"/>
      <c r="AT168" s="205"/>
      <c r="AU168" s="205"/>
      <c r="AV168" s="239"/>
      <c r="AW168" s="205"/>
      <c r="AX168" s="205"/>
      <c r="AY168" s="205"/>
      <c r="AZ168" s="205"/>
      <c r="BA168" s="241"/>
      <c r="BB168" s="205"/>
      <c r="BC168" s="205"/>
      <c r="BD168" s="205"/>
      <c r="BE168" s="241"/>
      <c r="BF168" s="205"/>
      <c r="BG168" s="205"/>
      <c r="BH168" s="205"/>
      <c r="BI168" s="205"/>
      <c r="BJ168" s="205"/>
      <c r="BK168" s="205"/>
      <c r="BL168" s="205"/>
      <c r="BM168" s="205"/>
      <c r="BN168" s="205"/>
      <c r="BO168" s="205"/>
      <c r="BP168" s="205"/>
      <c r="BQ168" s="205"/>
      <c r="BR168" s="231" t="s">
        <v>107</v>
      </c>
      <c r="BS168" s="156" t="s">
        <v>535</v>
      </c>
      <c r="BT168" s="94" t="s">
        <v>30</v>
      </c>
      <c r="BU168" s="95" t="n">
        <f aca="false">0.5*(CC168+CD168+CE168)+CF168+CH168+2*(CI168+CJ168)</f>
        <v>0</v>
      </c>
      <c r="BV168" s="95" t="n">
        <f aca="false">CC168*0.5+CD168*0.5+CE168*0.5+CF168+CG168+CH168+2*(CI168+CJ168+CK168)</f>
        <v>0</v>
      </c>
      <c r="BW168" s="96"/>
      <c r="BX168" s="7" t="s">
        <v>42</v>
      </c>
      <c r="BY168" s="97"/>
      <c r="BZ168" s="7"/>
      <c r="CA168" s="98"/>
      <c r="CB168" s="98" t="s">
        <v>88</v>
      </c>
      <c r="CC168" s="99"/>
      <c r="CD168" s="99"/>
      <c r="CE168" s="99"/>
      <c r="CF168" s="99"/>
      <c r="CG168" s="99"/>
      <c r="CH168" s="99"/>
      <c r="CI168" s="99"/>
      <c r="CJ168" s="99"/>
      <c r="CK168" s="99"/>
      <c r="CL168" s="221" t="n">
        <v>1</v>
      </c>
      <c r="CM168" s="413" t="s">
        <v>416</v>
      </c>
      <c r="CN168" s="205"/>
      <c r="CO168" s="205"/>
      <c r="CP168" s="205"/>
      <c r="CQ168" s="205"/>
      <c r="CR168" s="205"/>
      <c r="CS168" s="205"/>
      <c r="CT168" s="205"/>
      <c r="CU168" s="205"/>
      <c r="CV168" s="205"/>
      <c r="CW168" s="205"/>
      <c r="CX168" s="205"/>
      <c r="CY168" s="205"/>
      <c r="CZ168" s="205"/>
      <c r="DA168" s="205"/>
      <c r="DB168" s="205"/>
      <c r="DC168" s="205"/>
      <c r="DD168" s="205"/>
      <c r="DE168" s="205"/>
      <c r="DF168" s="205"/>
      <c r="DG168" s="205"/>
      <c r="DH168" s="205"/>
      <c r="DI168" s="205"/>
      <c r="DJ168" s="205"/>
    </row>
    <row r="169" customFormat="false" ht="22.5" hidden="false" customHeight="false" outlineLevel="0" collapsed="false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AT169" s="205"/>
      <c r="AU169" s="205"/>
      <c r="AV169" s="239"/>
      <c r="AW169" s="205"/>
      <c r="AX169" s="205"/>
      <c r="AY169" s="205"/>
      <c r="AZ169" s="205"/>
      <c r="BA169" s="241"/>
      <c r="BB169" s="205"/>
      <c r="BC169" s="205"/>
      <c r="BD169" s="205"/>
      <c r="BE169" s="241"/>
      <c r="BF169" s="205"/>
      <c r="BG169" s="205"/>
      <c r="BH169" s="205"/>
      <c r="BI169" s="205"/>
      <c r="BJ169" s="205"/>
      <c r="BK169" s="205"/>
      <c r="BL169" s="205"/>
      <c r="BM169" s="205"/>
      <c r="BN169" s="205"/>
      <c r="BO169" s="205"/>
      <c r="BP169" s="205"/>
      <c r="BQ169" s="205"/>
      <c r="BR169" s="205"/>
      <c r="BS169" s="205"/>
      <c r="BT169" s="205"/>
      <c r="BU169" s="205"/>
      <c r="BV169" s="205"/>
      <c r="BW169" s="205"/>
      <c r="BX169" s="205"/>
      <c r="BY169" s="205"/>
      <c r="BZ169" s="205"/>
      <c r="CA169" s="205"/>
      <c r="CB169" s="205"/>
      <c r="CC169" s="205"/>
      <c r="CD169" s="205"/>
      <c r="CE169" s="205"/>
      <c r="CF169" s="205"/>
      <c r="CG169" s="205"/>
      <c r="CH169" s="205"/>
      <c r="CI169" s="205"/>
      <c r="CJ169" s="205"/>
      <c r="CK169" s="205"/>
      <c r="CN169" s="205"/>
      <c r="CO169" s="205"/>
      <c r="CP169" s="205"/>
      <c r="CQ169" s="205"/>
      <c r="CR169" s="205"/>
      <c r="CS169" s="205"/>
      <c r="CT169" s="205"/>
      <c r="CU169" s="205"/>
      <c r="CV169" s="205"/>
      <c r="CW169" s="205"/>
      <c r="CX169" s="205"/>
      <c r="CY169" s="205"/>
      <c r="CZ169" s="205"/>
      <c r="DA169" s="205"/>
      <c r="DB169" s="205"/>
      <c r="DC169" s="205"/>
      <c r="DD169" s="205"/>
      <c r="DE169" s="205"/>
      <c r="DF169" s="205"/>
      <c r="DG169" s="205"/>
      <c r="DH169" s="205"/>
      <c r="DI169" s="205"/>
      <c r="DJ169" s="205"/>
    </row>
    <row r="170" customFormat="false" ht="136.5" hidden="false" customHeight="true" outlineLevel="0" collapsed="false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AT170" s="205"/>
      <c r="AU170" s="205"/>
      <c r="AV170" s="239"/>
      <c r="AW170" s="205"/>
      <c r="AX170" s="205"/>
      <c r="AY170" s="205"/>
      <c r="AZ170" s="205"/>
      <c r="BA170" s="241"/>
      <c r="BB170" s="205"/>
      <c r="BC170" s="205"/>
      <c r="BD170" s="205"/>
      <c r="BE170" s="241"/>
      <c r="BF170" s="205"/>
      <c r="BG170" s="205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5"/>
      <c r="BU170" s="205"/>
      <c r="BV170" s="205"/>
      <c r="BW170" s="205"/>
      <c r="BX170" s="205"/>
      <c r="BY170" s="205"/>
      <c r="BZ170" s="205"/>
      <c r="CA170" s="205"/>
      <c r="CB170" s="205"/>
      <c r="CC170" s="205"/>
      <c r="CD170" s="205"/>
      <c r="CE170" s="205"/>
      <c r="CF170" s="205"/>
      <c r="CG170" s="205"/>
      <c r="CH170" s="205"/>
      <c r="CI170" s="205"/>
      <c r="CJ170" s="205"/>
      <c r="CK170" s="205"/>
      <c r="CL170" s="205"/>
      <c r="CM170" s="205"/>
      <c r="CN170" s="205"/>
      <c r="CO170" s="205"/>
      <c r="CP170" s="205"/>
      <c r="CQ170" s="205"/>
      <c r="CR170" s="205"/>
      <c r="CS170" s="205"/>
      <c r="CT170" s="205"/>
      <c r="CU170" s="205"/>
      <c r="CV170" s="205"/>
      <c r="CW170" s="205"/>
      <c r="CX170" s="205"/>
      <c r="CY170" s="205"/>
      <c r="CZ170" s="205"/>
      <c r="DA170" s="205"/>
      <c r="DB170" s="205"/>
      <c r="DC170" s="205"/>
      <c r="DD170" s="205"/>
      <c r="DE170" s="205"/>
      <c r="DF170" s="205"/>
      <c r="DG170" s="205"/>
      <c r="DH170" s="205"/>
      <c r="DI170" s="205"/>
      <c r="DJ170" s="205"/>
    </row>
    <row r="171" customFormat="false" ht="22.5" hidden="false" customHeight="false" outlineLevel="0" collapsed="false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AT171" s="205"/>
      <c r="AU171" s="205"/>
      <c r="AV171" s="239"/>
      <c r="AW171" s="205"/>
      <c r="AX171" s="205"/>
      <c r="AY171" s="205"/>
      <c r="AZ171" s="205"/>
      <c r="BA171" s="241"/>
      <c r="BB171" s="205"/>
      <c r="BC171" s="205"/>
      <c r="BD171" s="205"/>
      <c r="BE171" s="241"/>
      <c r="BF171" s="205"/>
      <c r="BG171" s="205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5"/>
      <c r="BU171" s="205"/>
      <c r="BV171" s="205"/>
      <c r="BW171" s="205"/>
      <c r="BX171" s="205"/>
      <c r="BY171" s="205"/>
      <c r="BZ171" s="205"/>
      <c r="CA171" s="205"/>
      <c r="CB171" s="205"/>
      <c r="CC171" s="205"/>
      <c r="CD171" s="205"/>
      <c r="CE171" s="205"/>
      <c r="CF171" s="205"/>
      <c r="CG171" s="205"/>
      <c r="CH171" s="205"/>
      <c r="CI171" s="205"/>
      <c r="CJ171" s="205"/>
      <c r="CK171" s="205"/>
      <c r="CL171" s="205"/>
      <c r="CM171" s="205"/>
      <c r="CN171" s="205"/>
      <c r="CO171" s="205"/>
      <c r="CP171" s="205"/>
      <c r="CQ171" s="205"/>
      <c r="CR171" s="205"/>
      <c r="CS171" s="205"/>
      <c r="CT171" s="205"/>
      <c r="CU171" s="205"/>
      <c r="CV171" s="205"/>
      <c r="CW171" s="205"/>
      <c r="CX171" s="205"/>
      <c r="CY171" s="205"/>
      <c r="CZ171" s="205"/>
      <c r="DA171" s="205"/>
      <c r="DB171" s="205"/>
      <c r="DC171" s="205"/>
      <c r="DD171" s="205"/>
      <c r="DE171" s="205"/>
      <c r="DF171" s="205"/>
      <c r="DG171" s="205"/>
      <c r="DH171" s="205"/>
      <c r="DI171" s="205"/>
      <c r="DJ171" s="205"/>
    </row>
    <row r="172" customFormat="false" ht="180" hidden="false" customHeight="true" outlineLevel="0" collapsed="false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AT172" s="205"/>
      <c r="AU172" s="205"/>
      <c r="AV172" s="239"/>
      <c r="AW172" s="205"/>
      <c r="AX172" s="205"/>
      <c r="AY172" s="205"/>
      <c r="AZ172" s="205"/>
      <c r="BA172" s="241"/>
      <c r="BB172" s="205"/>
      <c r="BC172" s="205"/>
      <c r="BD172" s="205"/>
      <c r="BE172" s="241"/>
      <c r="BF172" s="205"/>
      <c r="BG172" s="205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5"/>
      <c r="BU172" s="205"/>
      <c r="BV172" s="205"/>
      <c r="BW172" s="205"/>
      <c r="BX172" s="205"/>
      <c r="BY172" s="205"/>
      <c r="BZ172" s="205"/>
      <c r="CA172" s="205"/>
      <c r="CB172" s="205"/>
      <c r="CC172" s="205"/>
      <c r="CD172" s="205"/>
      <c r="CE172" s="205"/>
      <c r="CF172" s="205"/>
      <c r="CG172" s="205"/>
      <c r="CH172" s="205"/>
      <c r="CI172" s="205"/>
      <c r="CJ172" s="205"/>
      <c r="CK172" s="205"/>
      <c r="CL172" s="205"/>
      <c r="CM172" s="205"/>
      <c r="CN172" s="205"/>
      <c r="CO172" s="205"/>
      <c r="CP172" s="205"/>
      <c r="CQ172" s="205"/>
      <c r="CR172" s="205"/>
      <c r="CS172" s="205"/>
      <c r="CT172" s="205"/>
      <c r="CU172" s="205"/>
      <c r="CV172" s="205"/>
      <c r="CW172" s="205"/>
      <c r="CX172" s="205"/>
      <c r="CY172" s="205"/>
      <c r="CZ172" s="205"/>
      <c r="DA172" s="205"/>
      <c r="DB172" s="205"/>
      <c r="DC172" s="205"/>
      <c r="DD172" s="205"/>
      <c r="DE172" s="205"/>
      <c r="DF172" s="205"/>
      <c r="DG172" s="205"/>
      <c r="DH172" s="205"/>
      <c r="DI172" s="205"/>
      <c r="DJ172" s="205"/>
    </row>
    <row r="173" customFormat="false" ht="22.5" hidden="false" customHeight="false" outlineLevel="0" collapsed="false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AT173" s="205"/>
      <c r="AU173" s="205"/>
      <c r="AV173" s="239"/>
      <c r="AW173" s="205"/>
      <c r="AX173" s="205"/>
      <c r="AY173" s="205"/>
      <c r="AZ173" s="205"/>
      <c r="BA173" s="241"/>
      <c r="BB173" s="205"/>
      <c r="BC173" s="205"/>
      <c r="BD173" s="205"/>
      <c r="BE173" s="241"/>
      <c r="BF173" s="205"/>
      <c r="BG173" s="205"/>
      <c r="BH173" s="205"/>
      <c r="BI173" s="205"/>
      <c r="BJ173" s="205"/>
      <c r="BK173" s="205"/>
      <c r="BL173" s="205"/>
      <c r="BM173" s="205"/>
      <c r="BN173" s="205"/>
      <c r="BO173" s="205"/>
      <c r="BP173" s="205"/>
      <c r="BQ173" s="205"/>
      <c r="BR173" s="205"/>
      <c r="BS173" s="205"/>
      <c r="BT173" s="205"/>
      <c r="BU173" s="205"/>
      <c r="BV173" s="205"/>
      <c r="BW173" s="205"/>
      <c r="BX173" s="241"/>
      <c r="BY173" s="205"/>
      <c r="BZ173" s="205"/>
      <c r="CA173" s="205"/>
      <c r="CB173" s="241"/>
      <c r="CC173" s="205"/>
      <c r="CD173" s="205"/>
      <c r="CE173" s="205"/>
      <c r="CF173" s="205"/>
      <c r="CG173" s="205"/>
      <c r="CH173" s="205"/>
      <c r="CI173" s="205"/>
      <c r="CJ173" s="205"/>
      <c r="CK173" s="205"/>
      <c r="CL173" s="205"/>
      <c r="CM173" s="205"/>
      <c r="CN173" s="205"/>
      <c r="CO173" s="205"/>
      <c r="CP173" s="205"/>
      <c r="CQ173" s="205"/>
      <c r="CR173" s="205"/>
      <c r="CS173" s="205"/>
      <c r="CT173" s="205"/>
      <c r="CU173" s="205"/>
      <c r="CV173" s="205"/>
      <c r="CW173" s="205"/>
      <c r="CX173" s="205"/>
      <c r="CY173" s="205"/>
      <c r="CZ173" s="205"/>
      <c r="DA173" s="205"/>
      <c r="DB173" s="205"/>
      <c r="DC173" s="205"/>
      <c r="DD173" s="205"/>
      <c r="DE173" s="205"/>
      <c r="DF173" s="205"/>
      <c r="DG173" s="205"/>
      <c r="DH173" s="205"/>
      <c r="DI173" s="205"/>
      <c r="DJ173" s="205"/>
    </row>
    <row r="174" customFormat="false" ht="153.75" hidden="false" customHeight="true" outlineLevel="0" collapsed="false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AT174" s="205"/>
      <c r="AU174" s="205"/>
      <c r="AV174" s="239"/>
      <c r="AW174" s="205"/>
      <c r="AX174" s="205"/>
      <c r="AY174" s="205"/>
      <c r="AZ174" s="205"/>
      <c r="BA174" s="241"/>
      <c r="BB174" s="205"/>
      <c r="BC174" s="205"/>
      <c r="BD174" s="205"/>
      <c r="BE174" s="241"/>
      <c r="BF174" s="205"/>
      <c r="BG174" s="205"/>
      <c r="BH174" s="205"/>
      <c r="BI174" s="205"/>
      <c r="BJ174" s="205"/>
      <c r="BK174" s="205"/>
      <c r="BL174" s="205"/>
      <c r="BM174" s="205"/>
      <c r="BN174" s="205"/>
      <c r="BO174" s="205"/>
      <c r="BP174" s="205"/>
      <c r="BQ174" s="205"/>
      <c r="BR174" s="205"/>
      <c r="BS174" s="205"/>
      <c r="BT174" s="205"/>
      <c r="BU174" s="205"/>
      <c r="BV174" s="205"/>
      <c r="BW174" s="205"/>
      <c r="BX174" s="241"/>
      <c r="BY174" s="205"/>
      <c r="BZ174" s="205"/>
      <c r="CA174" s="205"/>
      <c r="CB174" s="241"/>
      <c r="CC174" s="205"/>
      <c r="CD174" s="205"/>
      <c r="CE174" s="205"/>
      <c r="CF174" s="205"/>
      <c r="CG174" s="205"/>
      <c r="CH174" s="205"/>
      <c r="CI174" s="205"/>
      <c r="CJ174" s="205"/>
      <c r="CK174" s="205"/>
      <c r="CL174" s="205"/>
      <c r="CM174" s="205"/>
      <c r="CN174" s="205"/>
      <c r="CO174" s="205"/>
      <c r="CP174" s="205"/>
      <c r="CQ174" s="205"/>
      <c r="CR174" s="205"/>
      <c r="CS174" s="205"/>
      <c r="CT174" s="205"/>
      <c r="CU174" s="205"/>
      <c r="CV174" s="205"/>
      <c r="CW174" s="205"/>
      <c r="CX174" s="205"/>
      <c r="CY174" s="205"/>
      <c r="CZ174" s="205"/>
      <c r="DA174" s="205"/>
      <c r="DB174" s="205"/>
      <c r="DC174" s="205"/>
      <c r="DD174" s="205"/>
      <c r="DE174" s="205"/>
      <c r="DF174" s="205"/>
      <c r="DG174" s="205"/>
      <c r="DH174" s="205"/>
      <c r="DI174" s="205"/>
      <c r="DJ174" s="205"/>
    </row>
    <row r="175" customFormat="false" ht="105" hidden="false" customHeight="true" outlineLevel="0" collapsed="false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AT175" s="205"/>
      <c r="AU175" s="205"/>
      <c r="AV175" s="239"/>
      <c r="AW175" s="205"/>
      <c r="AX175" s="205"/>
      <c r="AY175" s="205"/>
      <c r="AZ175" s="205"/>
      <c r="BA175" s="241"/>
      <c r="BB175" s="205"/>
      <c r="BC175" s="205"/>
      <c r="BD175" s="205"/>
      <c r="BE175" s="241"/>
      <c r="BF175" s="205"/>
      <c r="BG175" s="205"/>
      <c r="BH175" s="205"/>
      <c r="BI175" s="205"/>
      <c r="BJ175" s="205"/>
      <c r="BK175" s="205"/>
      <c r="BL175" s="205"/>
      <c r="BM175" s="205"/>
      <c r="BN175" s="205"/>
      <c r="BO175" s="205"/>
      <c r="BP175" s="205"/>
      <c r="BQ175" s="205"/>
      <c r="BR175" s="205"/>
      <c r="BS175" s="205"/>
      <c r="BT175" s="205"/>
      <c r="BU175" s="205"/>
      <c r="BV175" s="205"/>
      <c r="BW175" s="205"/>
      <c r="BX175" s="241"/>
      <c r="BY175" s="205"/>
      <c r="BZ175" s="205"/>
      <c r="CA175" s="205"/>
      <c r="CB175" s="241"/>
      <c r="CC175" s="205"/>
      <c r="CD175" s="205"/>
      <c r="CE175" s="205"/>
      <c r="CF175" s="205"/>
      <c r="CG175" s="205"/>
      <c r="CH175" s="205"/>
      <c r="CI175" s="205"/>
      <c r="CJ175" s="205"/>
      <c r="CK175" s="205"/>
      <c r="CL175" s="205"/>
      <c r="CM175" s="205"/>
      <c r="CN175" s="205"/>
      <c r="CO175" s="205"/>
      <c r="CP175" s="205"/>
      <c r="CQ175" s="205"/>
      <c r="CR175" s="205"/>
      <c r="CS175" s="205"/>
      <c r="CT175" s="205"/>
      <c r="CU175" s="205"/>
      <c r="CV175" s="205"/>
      <c r="CW175" s="205"/>
      <c r="CX175" s="205"/>
      <c r="CY175" s="205"/>
      <c r="CZ175" s="205"/>
      <c r="DA175" s="205"/>
      <c r="DB175" s="205"/>
      <c r="DC175" s="205"/>
      <c r="DD175" s="205"/>
      <c r="DE175" s="205"/>
      <c r="DF175" s="205"/>
      <c r="DG175" s="205"/>
      <c r="DH175" s="205"/>
      <c r="DI175" s="205"/>
      <c r="DJ175" s="205"/>
    </row>
    <row r="176" customFormat="false" ht="22.5" hidden="false" customHeight="false" outlineLevel="0" collapsed="false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AT176" s="205"/>
      <c r="AU176" s="205"/>
      <c r="AV176" s="239"/>
      <c r="AW176" s="205"/>
      <c r="AX176" s="205"/>
      <c r="AY176" s="205"/>
      <c r="AZ176" s="205"/>
      <c r="BA176" s="241"/>
      <c r="BB176" s="205"/>
      <c r="BC176" s="205"/>
      <c r="BD176" s="205"/>
      <c r="BE176" s="241"/>
      <c r="BF176" s="205"/>
      <c r="BG176" s="205"/>
      <c r="BH176" s="205"/>
      <c r="BI176" s="205"/>
      <c r="BJ176" s="205"/>
      <c r="BK176" s="205"/>
      <c r="BL176" s="205"/>
      <c r="BM176" s="205"/>
      <c r="BN176" s="205"/>
      <c r="BO176" s="205"/>
      <c r="BP176" s="205"/>
      <c r="BQ176" s="205"/>
      <c r="BR176" s="205"/>
      <c r="BS176" s="205"/>
      <c r="BT176" s="205"/>
      <c r="BU176" s="205"/>
      <c r="BV176" s="205"/>
      <c r="BW176" s="205"/>
      <c r="BX176" s="241"/>
      <c r="BY176" s="205"/>
      <c r="BZ176" s="205"/>
      <c r="CA176" s="205"/>
      <c r="CB176" s="241"/>
      <c r="CC176" s="205"/>
      <c r="CD176" s="205"/>
      <c r="CE176" s="205"/>
      <c r="CF176" s="205"/>
      <c r="CG176" s="205"/>
      <c r="CH176" s="205"/>
      <c r="CI176" s="205"/>
      <c r="CJ176" s="205"/>
      <c r="CK176" s="205"/>
      <c r="CL176" s="205"/>
      <c r="CM176" s="205"/>
      <c r="CN176" s="205"/>
      <c r="CO176" s="205"/>
      <c r="CP176" s="205"/>
      <c r="CQ176" s="205"/>
      <c r="CR176" s="205"/>
      <c r="CS176" s="205"/>
      <c r="CT176" s="205"/>
      <c r="CU176" s="205"/>
      <c r="CV176" s="205"/>
      <c r="CW176" s="205"/>
      <c r="CX176" s="205"/>
      <c r="CY176" s="205"/>
      <c r="CZ176" s="205"/>
      <c r="DA176" s="205"/>
      <c r="DB176" s="205"/>
      <c r="DC176" s="205"/>
      <c r="DD176" s="205"/>
      <c r="DE176" s="205"/>
      <c r="DF176" s="205"/>
      <c r="DG176" s="205"/>
      <c r="DH176" s="205"/>
      <c r="DI176" s="205"/>
      <c r="DJ176" s="205"/>
    </row>
    <row r="177" customFormat="false" ht="22.5" hidden="false" customHeight="false" outlineLevel="0" collapsed="false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AT177" s="205"/>
      <c r="AU177" s="205"/>
      <c r="AV177" s="239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5"/>
      <c r="BI177" s="205"/>
      <c r="BJ177" s="205"/>
      <c r="BK177" s="205"/>
      <c r="BL177" s="205"/>
      <c r="BM177" s="205"/>
      <c r="BN177" s="205"/>
      <c r="BO177" s="205"/>
      <c r="BP177" s="205"/>
      <c r="BQ177" s="205"/>
      <c r="BR177" s="205"/>
      <c r="BS177" s="205"/>
      <c r="BT177" s="205"/>
      <c r="BU177" s="205"/>
      <c r="BV177" s="205"/>
      <c r="BW177" s="205"/>
      <c r="BX177" s="241"/>
      <c r="BY177" s="205"/>
      <c r="BZ177" s="205"/>
      <c r="CA177" s="205"/>
      <c r="CB177" s="241"/>
      <c r="CC177" s="205"/>
      <c r="CD177" s="205"/>
      <c r="CE177" s="205"/>
      <c r="CF177" s="205"/>
      <c r="CG177" s="205"/>
      <c r="CH177" s="205"/>
      <c r="CI177" s="205"/>
      <c r="CJ177" s="205"/>
      <c r="CK177" s="205"/>
      <c r="CL177" s="205"/>
      <c r="CM177" s="205"/>
      <c r="CN177" s="205"/>
      <c r="CO177" s="205"/>
      <c r="CP177" s="205"/>
      <c r="CQ177" s="205"/>
      <c r="CR177" s="205"/>
      <c r="CS177" s="205"/>
      <c r="CT177" s="205"/>
      <c r="CU177" s="205"/>
      <c r="CV177" s="205"/>
      <c r="CW177" s="205"/>
      <c r="CX177" s="205"/>
      <c r="CY177" s="205"/>
      <c r="CZ177" s="205"/>
      <c r="DA177" s="205"/>
      <c r="DB177" s="205"/>
      <c r="DC177" s="205"/>
      <c r="DD177" s="205"/>
      <c r="DE177" s="205"/>
      <c r="DF177" s="205"/>
      <c r="DG177" s="205"/>
      <c r="DH177" s="205"/>
      <c r="DI177" s="205"/>
      <c r="DJ177" s="205"/>
    </row>
    <row r="178" customFormat="false" ht="22.5" hidden="false" customHeight="false" outlineLevel="0" collapsed="false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64"/>
      <c r="AT178" s="205"/>
      <c r="AV178" s="627"/>
      <c r="AZ178" s="205"/>
      <c r="BA178" s="205"/>
      <c r="BB178" s="205"/>
      <c r="BC178" s="205"/>
      <c r="BD178" s="205"/>
      <c r="BE178" s="205"/>
      <c r="BF178" s="205"/>
      <c r="BG178" s="205"/>
      <c r="BH178" s="205"/>
      <c r="BI178" s="205"/>
      <c r="BJ178" s="205"/>
      <c r="BK178" s="205"/>
      <c r="BL178" s="205"/>
      <c r="BM178" s="205"/>
      <c r="BN178" s="205"/>
      <c r="BO178" s="205"/>
      <c r="BP178" s="205"/>
      <c r="BQ178" s="205"/>
      <c r="BR178" s="205"/>
      <c r="BS178" s="205"/>
      <c r="BT178" s="205"/>
      <c r="BU178" s="205"/>
      <c r="BV178" s="205"/>
      <c r="BW178" s="205"/>
      <c r="BX178" s="241"/>
      <c r="BY178" s="205"/>
      <c r="BZ178" s="205"/>
      <c r="CA178" s="205"/>
      <c r="CB178" s="241"/>
      <c r="CC178" s="205"/>
      <c r="CD178" s="205"/>
      <c r="CE178" s="205"/>
      <c r="CF178" s="205"/>
      <c r="CG178" s="205"/>
      <c r="CH178" s="205"/>
      <c r="CI178" s="205"/>
      <c r="CJ178" s="205"/>
      <c r="CK178" s="205"/>
      <c r="CL178" s="205"/>
      <c r="CM178" s="205"/>
      <c r="CN178" s="205"/>
      <c r="CO178" s="205"/>
      <c r="CP178" s="205"/>
      <c r="CQ178" s="205"/>
      <c r="CR178" s="205"/>
      <c r="CS178" s="205"/>
      <c r="CT178" s="205"/>
      <c r="CU178" s="205"/>
      <c r="CV178" s="205"/>
      <c r="CW178" s="205"/>
      <c r="CX178" s="205"/>
      <c r="CY178" s="205"/>
      <c r="CZ178" s="205"/>
      <c r="DA178" s="205"/>
      <c r="DB178" s="205"/>
      <c r="DC178" s="205"/>
      <c r="DD178" s="205"/>
      <c r="DE178" s="205"/>
      <c r="DF178" s="205"/>
      <c r="DG178" s="205"/>
      <c r="DH178" s="205"/>
      <c r="DI178" s="205"/>
      <c r="DJ178" s="205"/>
    </row>
    <row r="179" customFormat="false" ht="22.5" hidden="false" customHeight="false" outlineLevel="0" collapsed="false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AT179" s="64"/>
      <c r="AU179" s="64"/>
      <c r="AV179" s="243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</row>
    <row r="180" customFormat="false" ht="24.45" hidden="false" customHeight="false" outlineLevel="0" collapsed="false">
      <c r="A180" s="628" t="s">
        <v>536</v>
      </c>
      <c r="B180" s="70"/>
      <c r="C180" s="71" t="s">
        <v>30</v>
      </c>
      <c r="D180" s="72" t="n">
        <f aca="false">0.5*(L180+M180+N180)+O180+Q180+2*(R180+S180)</f>
        <v>0</v>
      </c>
      <c r="E180" s="73" t="n">
        <f aca="false">L180*0.5+M180*0.5+N180*0.5+O180+P180+Q180+2*(R180+S180+T180)</f>
        <v>0</v>
      </c>
      <c r="F180" s="70"/>
      <c r="G180" s="70"/>
      <c r="H180" s="70"/>
      <c r="I180" s="70"/>
      <c r="J180" s="70"/>
      <c r="K180" s="70"/>
      <c r="L180" s="74" t="n">
        <f aca="false">SUMIFS(L182:L197,C182:C197,C180)</f>
        <v>0</v>
      </c>
      <c r="M180" s="74" t="n">
        <f aca="false">SUMIFS(M182:M197,C182:C197,C180)</f>
        <v>0</v>
      </c>
      <c r="N180" s="74" t="n">
        <f aca="false">SUMIFS(N182:N197,C182:C197,C180)</f>
        <v>0</v>
      </c>
      <c r="O180" s="74" t="n">
        <f aca="false">SUMIFS(O182:O197,C182:C197,C180)</f>
        <v>0</v>
      </c>
      <c r="P180" s="74" t="n">
        <f aca="false">SUMIFS(P182:P197,C182:C197,C180)</f>
        <v>0</v>
      </c>
      <c r="Q180" s="74" t="n">
        <f aca="false">SUMIFS(Q182:Q197,C182:C197,C180)</f>
        <v>0</v>
      </c>
      <c r="R180" s="74" t="n">
        <f aca="false">SUMIFS(R182:R197,C182:C197,C180)</f>
        <v>0</v>
      </c>
      <c r="S180" s="74" t="n">
        <f aca="false">SUMIFS(S182:S197,C182:C197,C180)</f>
        <v>0</v>
      </c>
      <c r="T180" s="74" t="n">
        <f aca="false">SUMIFS(T182:T197,C182:C197,C180)</f>
        <v>0</v>
      </c>
      <c r="U180" s="75"/>
      <c r="V180" s="76" t="n">
        <f aca="false">SUM(U182:U209)</f>
        <v>0</v>
      </c>
      <c r="AU180" s="628" t="s">
        <v>536</v>
      </c>
      <c r="AV180" s="91"/>
      <c r="AW180" s="71" t="s">
        <v>30</v>
      </c>
      <c r="AX180" s="72" t="n">
        <f aca="false">0.5*(BF180+BG180+BH180)+BI180+BK180+2*(BL180+BM180)</f>
        <v>0</v>
      </c>
      <c r="AY180" s="73" t="n">
        <f aca="false">BF180*0.5+BG180*0.5+BH180*0.5+BI180+BJ180+BK180+2*(BL180+BM180+BN180)</f>
        <v>0</v>
      </c>
      <c r="AZ180" s="70"/>
      <c r="BA180" s="70"/>
      <c r="BB180" s="70"/>
      <c r="BC180" s="70"/>
      <c r="BD180" s="70"/>
      <c r="BE180" s="70"/>
      <c r="BF180" s="74" t="n">
        <f aca="false">SUMIFS(BF182:BF197,AW182:AW197,AW180)</f>
        <v>0</v>
      </c>
      <c r="BG180" s="74" t="n">
        <f aca="false">SUMIFS(BG182:BG197,AW182:AW197,AW180)</f>
        <v>0</v>
      </c>
      <c r="BH180" s="74" t="n">
        <f aca="false">SUMIFS(BH182:BH197,AW182:AW197,AW180)</f>
        <v>0</v>
      </c>
      <c r="BI180" s="74" t="n">
        <f aca="false">SUMIFS(BI182:BI197,AW182:AW197,AW180)</f>
        <v>0</v>
      </c>
      <c r="BJ180" s="74" t="n">
        <f aca="false">SUMIFS(BJ182:BJ197,AW182:AW197,AW180)</f>
        <v>0</v>
      </c>
      <c r="BK180" s="74" t="n">
        <f aca="false">SUMIFS(BK182:BK197,AW182:AW197,AW180)</f>
        <v>0</v>
      </c>
      <c r="BL180" s="74" t="n">
        <f aca="false">SUMIFS(BL182:BL197,AW182:AW197,AW180)</f>
        <v>0</v>
      </c>
      <c r="BM180" s="74" t="n">
        <f aca="false">SUMIFS(BM182:BM197,AW182:AW197,AW180)</f>
        <v>0</v>
      </c>
      <c r="BN180" s="74" t="n">
        <f aca="false">SUMIFS(BN182:BN197,AW182:AW197,AW180)</f>
        <v>0</v>
      </c>
      <c r="BO180" s="75"/>
      <c r="BP180" s="76" t="n">
        <f aca="false">SUM(BO182:BO209)</f>
        <v>0</v>
      </c>
      <c r="BR180" s="628" t="s">
        <v>536</v>
      </c>
      <c r="BS180" s="70"/>
      <c r="BT180" s="71" t="s">
        <v>30</v>
      </c>
      <c r="BU180" s="72" t="n">
        <f aca="false">0.5*(CC180+CD180+CE180)+CF180+CH180+2*(CI180+CJ180)</f>
        <v>0</v>
      </c>
      <c r="BV180" s="73" t="n">
        <f aca="false">CC180*0.5+CD180*0.5+CE180*0.5+CF180+CG180+CH180+2*(CI180+CJ180+CK180)</f>
        <v>0</v>
      </c>
      <c r="BW180" s="70"/>
      <c r="BX180" s="70"/>
      <c r="BY180" s="70"/>
      <c r="BZ180" s="70"/>
      <c r="CA180" s="70"/>
      <c r="CB180" s="70"/>
      <c r="CC180" s="74" t="n">
        <f aca="false">SUMIFS(CC182:CC197,BT182:BT197,BT180)</f>
        <v>0</v>
      </c>
      <c r="CD180" s="74" t="n">
        <f aca="false">SUMIFS(CD182:CD197,BT182:BT197,BT180)</f>
        <v>0</v>
      </c>
      <c r="CE180" s="74" t="n">
        <f aca="false">SUMIFS(CE182:CE197,BT182:BT197,BT180)</f>
        <v>0</v>
      </c>
      <c r="CF180" s="74" t="n">
        <f aca="false">SUMIFS(CF182:CF197,BT182:BT197,BT180)</f>
        <v>0</v>
      </c>
      <c r="CG180" s="74" t="n">
        <f aca="false">SUMIFS(CG182:CG197,BT182:BT197,BT180)</f>
        <v>0</v>
      </c>
      <c r="CH180" s="74" t="n">
        <f aca="false">SUMIFS(CH182:CH197,BT182:BT197,BT180)</f>
        <v>0</v>
      </c>
      <c r="CI180" s="74" t="n">
        <f aca="false">SUMIFS(CI182:CI197,BT182:BT197,BT180)</f>
        <v>0</v>
      </c>
      <c r="CJ180" s="74" t="n">
        <f aca="false">SUMIFS(CJ182:CJ197,BT182:BT197,BT180)</f>
        <v>0</v>
      </c>
      <c r="CK180" s="74" t="n">
        <f aca="false">SUMIFS(CK182:CK197,BT182:BT197,BT180)</f>
        <v>0</v>
      </c>
      <c r="CL180" s="75"/>
      <c r="CM180" s="76" t="n">
        <f aca="false">SUM(CL182:CL209)</f>
        <v>0</v>
      </c>
      <c r="CO180" s="628" t="s">
        <v>536</v>
      </c>
      <c r="CP180" s="70"/>
      <c r="CQ180" s="71" t="s">
        <v>30</v>
      </c>
      <c r="CR180" s="72" t="n">
        <f aca="false">0.5*(CZ180+DA180+DB180)+DC180+DE180+2*(DF180+DG180)</f>
        <v>0</v>
      </c>
      <c r="CS180" s="73" t="n">
        <f aca="false">CZ180*0.5+DA180*0.5+DB180*0.5+DC180+DD180+DE180+2*(DF180+DG180+DH180)</f>
        <v>0</v>
      </c>
      <c r="CT180" s="70"/>
      <c r="CU180" s="70"/>
      <c r="CV180" s="70"/>
      <c r="CW180" s="70"/>
      <c r="CX180" s="70"/>
      <c r="CY180" s="70"/>
      <c r="CZ180" s="74" t="n">
        <f aca="false">SUMIFS(CZ182:CZ197,CQ182:CQ197,CQ180)</f>
        <v>0</v>
      </c>
      <c r="DA180" s="74" t="n">
        <f aca="false">SUMIFS(DA182:DA197,CQ182:CQ197,CQ180)</f>
        <v>0</v>
      </c>
      <c r="DB180" s="74" t="n">
        <f aca="false">SUMIFS(DB182:DB197,CQ182:CQ197,CQ180)</f>
        <v>0</v>
      </c>
      <c r="DC180" s="74" t="n">
        <f aca="false">SUMIFS(DC182:DC197,CQ182:CQ197,CQ180)</f>
        <v>0</v>
      </c>
      <c r="DD180" s="74" t="n">
        <f aca="false">SUMIFS(DD182:DD197,CQ182:CQ197,CQ180)</f>
        <v>0</v>
      </c>
      <c r="DE180" s="74" t="n">
        <f aca="false">SUMIFS(DE182:DE197,CQ182:CQ197,CQ180)</f>
        <v>0</v>
      </c>
      <c r="DF180" s="74" t="n">
        <f aca="false">SUMIFS(DF182:DF197,CQ182:CQ197,CQ180)</f>
        <v>0</v>
      </c>
      <c r="DG180" s="74" t="n">
        <f aca="false">SUMIFS(DG182:DG197,CQ182:CQ197,CQ180)</f>
        <v>0</v>
      </c>
      <c r="DH180" s="74" t="n">
        <f aca="false">SUMIFS(DH182:DH197,CQ182:CQ197,CQ180)</f>
        <v>0</v>
      </c>
      <c r="DI180" s="75"/>
      <c r="DJ180" s="76" t="n">
        <f aca="false">SUM(DI182:DI209)</f>
        <v>0</v>
      </c>
    </row>
    <row r="181" customFormat="false" ht="24.45" hidden="false" customHeight="false" outlineLevel="0" collapsed="false">
      <c r="A181" s="628" t="s">
        <v>537</v>
      </c>
      <c r="B181" s="87"/>
      <c r="C181" s="71" t="s">
        <v>36</v>
      </c>
      <c r="D181" s="72" t="n">
        <f aca="false">0.5*(L181+M181+N181)+O181+Q181+2*(R181+S181)</f>
        <v>0</v>
      </c>
      <c r="E181" s="73" t="n">
        <f aca="false">L181*0.5+M181*0.5+N181*0.5+O181+P181+Q181+2*(R181+S181+T181)</f>
        <v>0</v>
      </c>
      <c r="F181" s="70"/>
      <c r="G181" s="70"/>
      <c r="H181" s="70"/>
      <c r="I181" s="70"/>
      <c r="J181" s="70"/>
      <c r="K181" s="70"/>
      <c r="L181" s="74" t="n">
        <f aca="false">SUMIFS(L182:L197,C182:C197,C181)</f>
        <v>0</v>
      </c>
      <c r="M181" s="74" t="n">
        <f aca="false">SUMIFS(M182:M197,C182:C197,C181)</f>
        <v>0</v>
      </c>
      <c r="N181" s="74" t="n">
        <f aca="false">SUMIFS(N182:N197,C182:C197,C181)</f>
        <v>0</v>
      </c>
      <c r="O181" s="74" t="n">
        <f aca="false">SUMIFS(O182:O197,C182:C197,C181)</f>
        <v>0</v>
      </c>
      <c r="P181" s="74" t="n">
        <f aca="false">SUMIFS(P182:P197,C182:C197,C181)</f>
        <v>0</v>
      </c>
      <c r="Q181" s="74" t="n">
        <f aca="false">SUMIFS(Q182:Q197,C182:C197,C181)</f>
        <v>0</v>
      </c>
      <c r="R181" s="74" t="n">
        <f aca="false">SUMIFS(R182:R197,C182:C197,C181)</f>
        <v>0</v>
      </c>
      <c r="S181" s="74" t="n">
        <f aca="false">SUMIFS(S182:S197,C182:C197,C181)</f>
        <v>0</v>
      </c>
      <c r="T181" s="74" t="n">
        <f aca="false">SUMIFS(T182:T197,C182:C197,C181)</f>
        <v>0</v>
      </c>
      <c r="U181" s="75"/>
      <c r="V181" s="76"/>
      <c r="AU181" s="628" t="s">
        <v>537</v>
      </c>
      <c r="AV181" s="629"/>
      <c r="AW181" s="71" t="s">
        <v>36</v>
      </c>
      <c r="AX181" s="72" t="n">
        <f aca="false">0.5*(BF181+BG181+BH181)+BI181+BK181+2*(BL181+BM181)</f>
        <v>0</v>
      </c>
      <c r="AY181" s="73" t="n">
        <f aca="false">BF181*0.5+BG181*0.5+BH181*0.5+BI181+BJ181+BK181+2*(BL181+BM181+BN181)</f>
        <v>0</v>
      </c>
      <c r="AZ181" s="70"/>
      <c r="BA181" s="70"/>
      <c r="BB181" s="70"/>
      <c r="BC181" s="70"/>
      <c r="BD181" s="70"/>
      <c r="BE181" s="70"/>
      <c r="BF181" s="74" t="n">
        <f aca="false">SUMIFS(BF182:BF197,AW182:AW197,AW181)</f>
        <v>0</v>
      </c>
      <c r="BG181" s="74" t="n">
        <f aca="false">SUMIFS(BG182:BG197,AW182:AW197,AW181)</f>
        <v>0</v>
      </c>
      <c r="BH181" s="74" t="n">
        <f aca="false">SUMIFS(BH182:BH197,AW182:AW197,AW181)</f>
        <v>0</v>
      </c>
      <c r="BI181" s="74" t="n">
        <f aca="false">SUMIFS(BI182:BI197,AW182:AW197,AW181)</f>
        <v>0</v>
      </c>
      <c r="BJ181" s="74" t="n">
        <f aca="false">SUMIFS(BJ182:BJ197,AW182:AW197,AW181)</f>
        <v>0</v>
      </c>
      <c r="BK181" s="74" t="n">
        <f aca="false">SUMIFS(BK182:BK197,AW182:AW197,AW181)</f>
        <v>0</v>
      </c>
      <c r="BL181" s="74" t="n">
        <f aca="false">SUMIFS(BL182:BL197,AW182:AW197,AW181)</f>
        <v>0</v>
      </c>
      <c r="BM181" s="74" t="n">
        <f aca="false">SUMIFS(BM182:BM197,AW182:AW197,AW181)</f>
        <v>0</v>
      </c>
      <c r="BN181" s="74" t="n">
        <f aca="false">SUMIFS(BN182:BN197,AW182:AW197,AW181)</f>
        <v>0</v>
      </c>
      <c r="BO181" s="75"/>
      <c r="BP181" s="76"/>
      <c r="BR181" s="628" t="s">
        <v>537</v>
      </c>
      <c r="BS181" s="87"/>
      <c r="BT181" s="71" t="s">
        <v>36</v>
      </c>
      <c r="BU181" s="72" t="n">
        <f aca="false">0.5*(CC181+CD181+CE181)+CF181+CH181+2*(CI181+CJ181)</f>
        <v>0</v>
      </c>
      <c r="BV181" s="73" t="n">
        <f aca="false">CC181*0.5+CD181*0.5+CE181*0.5+CF181+CG181+CH181+2*(CI181+CJ181+CK181)</f>
        <v>0</v>
      </c>
      <c r="BW181" s="70"/>
      <c r="BX181" s="70"/>
      <c r="BY181" s="70"/>
      <c r="BZ181" s="70"/>
      <c r="CA181" s="70"/>
      <c r="CB181" s="70"/>
      <c r="CC181" s="74" t="n">
        <f aca="false">SUMIFS(CC182:CC197,BT182:BT197,BT181)</f>
        <v>0</v>
      </c>
      <c r="CD181" s="74" t="n">
        <f aca="false">SUMIFS(CD182:CD197,BT182:BT197,BT181)</f>
        <v>0</v>
      </c>
      <c r="CE181" s="74" t="n">
        <f aca="false">SUMIFS(CE182:CE197,BT182:BT197,BT181)</f>
        <v>0</v>
      </c>
      <c r="CF181" s="74" t="n">
        <f aca="false">SUMIFS(CF182:CF197,BT182:BT197,BT181)</f>
        <v>0</v>
      </c>
      <c r="CG181" s="74" t="n">
        <f aca="false">SUMIFS(CG182:CG197,BT182:BT197,BT181)</f>
        <v>0</v>
      </c>
      <c r="CH181" s="74" t="n">
        <f aca="false">SUMIFS(CH182:CH197,BT182:BT197,BT181)</f>
        <v>0</v>
      </c>
      <c r="CI181" s="74" t="n">
        <f aca="false">SUMIFS(CI182:CI197,BT182:BT197,BT181)</f>
        <v>0</v>
      </c>
      <c r="CJ181" s="74" t="n">
        <f aca="false">SUMIFS(CJ182:CJ197,BT182:BT197,BT181)</f>
        <v>0</v>
      </c>
      <c r="CK181" s="74" t="n">
        <f aca="false">SUMIFS(CK182:CK197,BT182:BT197,BT181)</f>
        <v>0</v>
      </c>
      <c r="CL181" s="75"/>
      <c r="CM181" s="76"/>
      <c r="CO181" s="630" t="s">
        <v>537</v>
      </c>
      <c r="CP181" s="87"/>
      <c r="CQ181" s="71" t="s">
        <v>36</v>
      </c>
      <c r="CR181" s="72" t="n">
        <f aca="false">0.5*(CZ181+DA181+DB181)+DC181+DE181+2*(DF181+DG181)</f>
        <v>0</v>
      </c>
      <c r="CS181" s="73" t="n">
        <f aca="false">CZ181*0.5+DA181*0.5+DB181*0.5+DC181+DD181+DE181+2*(DF181+DG181+DH181)</f>
        <v>0</v>
      </c>
      <c r="CT181" s="70"/>
      <c r="CU181" s="70"/>
      <c r="CV181" s="70"/>
      <c r="CW181" s="70"/>
      <c r="CX181" s="70"/>
      <c r="CY181" s="70"/>
      <c r="CZ181" s="74" t="n">
        <f aca="false">SUMIFS(CZ182:CZ197,CQ182:CQ197,CQ181)</f>
        <v>0</v>
      </c>
      <c r="DA181" s="74" t="n">
        <f aca="false">SUMIFS(DA182:DA197,CQ182:CQ197,CQ181)</f>
        <v>0</v>
      </c>
      <c r="DB181" s="74" t="n">
        <f aca="false">SUMIFS(DB182:DB197,CQ182:CQ197,CQ181)</f>
        <v>0</v>
      </c>
      <c r="DC181" s="74" t="n">
        <f aca="false">SUMIFS(DC182:DC197,CQ182:CQ197,CQ181)</f>
        <v>0</v>
      </c>
      <c r="DD181" s="74" t="n">
        <f aca="false">SUMIFS(DD182:DD197,CQ182:CQ197,CQ181)</f>
        <v>0</v>
      </c>
      <c r="DE181" s="74" t="n">
        <f aca="false">SUMIFS(DE182:DE197,CQ182:CQ197,CQ181)</f>
        <v>0</v>
      </c>
      <c r="DF181" s="74" t="n">
        <f aca="false">SUMIFS(DF182:DF197,CQ182:CQ197,CQ181)</f>
        <v>0</v>
      </c>
      <c r="DG181" s="74" t="n">
        <f aca="false">SUMIFS(DG182:DG197,CQ182:CQ197,CQ181)</f>
        <v>0</v>
      </c>
      <c r="DH181" s="74" t="n">
        <f aca="false">SUMIFS(DH182:DH197,CQ182:CQ197,CQ181)</f>
        <v>0</v>
      </c>
      <c r="DI181" s="75"/>
      <c r="DJ181" s="76"/>
    </row>
    <row r="182" customFormat="false" ht="132.75" hidden="false" customHeight="true" outlineLevel="0" collapsed="false"/>
    <row r="183" customFormat="false" ht="123" hidden="false" customHeight="true" outlineLevel="0" collapsed="false"/>
    <row r="184" customFormat="false" ht="113.25" hidden="false" customHeight="true" outlineLevel="0" collapsed="false"/>
    <row r="185" customFormat="false" ht="150" hidden="false" customHeight="true" outlineLevel="0" collapsed="false"/>
    <row r="186" customFormat="false" ht="120.75" hidden="false" customHeight="true" outlineLevel="0" collapsed="false"/>
    <row r="187" customFormat="false" ht="132" hidden="false" customHeight="true" outlineLevel="0" collapsed="false"/>
    <row r="188" customFormat="false" ht="134.25" hidden="false" customHeight="true" outlineLevel="0" collapsed="false"/>
    <row r="189" customFormat="false" ht="128.25" hidden="false" customHeight="true" outlineLevel="0" collapsed="false"/>
    <row r="191" customFormat="false" ht="123" hidden="false" customHeight="true" outlineLevel="0" collapsed="false"/>
    <row r="192" customFormat="false" ht="123" hidden="false" customHeight="true" outlineLevel="0" collapsed="false"/>
    <row r="193" customFormat="false" ht="153" hidden="false" customHeight="true" outlineLevel="0" collapsed="false"/>
    <row r="195" customFormat="false" ht="184.5" hidden="false" customHeight="true" outlineLevel="0" collapsed="false"/>
    <row r="196" customFormat="false" ht="228" hidden="false" customHeight="true" outlineLevel="0" collapsed="false"/>
    <row r="197" customFormat="false" ht="150" hidden="false" customHeight="true" outlineLevel="0" collapsed="false"/>
    <row r="198" customFormat="false" ht="269.25" hidden="false" customHeight="true" outlineLevel="0" collapsed="false"/>
    <row r="199" customFormat="false" ht="264.75" hidden="false" customHeight="true" outlineLevel="0" collapsed="false"/>
    <row r="200" customFormat="false" ht="205.5" hidden="false" customHeight="true" outlineLevel="0" collapsed="false"/>
    <row r="201" customFormat="false" ht="22.5" hidden="false" customHeight="false" outlineLevel="0" collapsed="false"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</row>
    <row r="202" customFormat="false" ht="203.25" hidden="false" customHeight="true" outlineLevel="0" collapsed="false"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</row>
    <row r="203" customFormat="false" ht="22.5" hidden="false" customHeight="false" outlineLevel="0" collapsed="false"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</row>
    <row r="204" customFormat="false" ht="22.5" hidden="false" customHeight="false" outlineLevel="0" collapsed="false"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</row>
    <row r="205" customFormat="false" ht="22.5" hidden="false" customHeight="false" outlineLevel="0" collapsed="false"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</row>
    <row r="206" customFormat="false" ht="22.5" hidden="false" customHeight="false" outlineLevel="0" collapsed="false"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</row>
    <row r="207" customFormat="false" ht="22.5" hidden="false" customHeight="false" outlineLevel="0" collapsed="false"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</row>
    <row r="208" customFormat="false" ht="22.5" hidden="false" customHeight="false" outlineLevel="0" collapsed="false"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</row>
  </sheetData>
  <mergeCells count="30">
    <mergeCell ref="A1:DJ1"/>
    <mergeCell ref="B2:B4"/>
    <mergeCell ref="C2:D2"/>
    <mergeCell ref="E2:F2"/>
    <mergeCell ref="J2:J4"/>
    <mergeCell ref="V2:V4"/>
    <mergeCell ref="Y2:Y4"/>
    <mergeCell ref="AG2:AG4"/>
    <mergeCell ref="AS2:AS4"/>
    <mergeCell ref="AV2:AV4"/>
    <mergeCell ref="BD2:BD4"/>
    <mergeCell ref="BP2:BP4"/>
    <mergeCell ref="BS2:BS4"/>
    <mergeCell ref="CA2:CA4"/>
    <mergeCell ref="CM2:CM4"/>
    <mergeCell ref="CP2:CP4"/>
    <mergeCell ref="CX2:CX4"/>
    <mergeCell ref="DJ2:DJ4"/>
    <mergeCell ref="C3:D3"/>
    <mergeCell ref="C4:D4"/>
    <mergeCell ref="E4:F4"/>
    <mergeCell ref="BW13:CB13"/>
    <mergeCell ref="AZ20:BE20"/>
    <mergeCell ref="BW103:CB103"/>
    <mergeCell ref="BW128:CA128"/>
    <mergeCell ref="BW132:CB132"/>
    <mergeCell ref="G134:K134"/>
    <mergeCell ref="F135:K135"/>
    <mergeCell ref="C137:T137"/>
    <mergeCell ref="AZ143:BE143"/>
  </mergeCells>
  <conditionalFormatting sqref="BU180:BU181">
    <cfRule type="cellIs" priority="2" operator="lessThan" aboveAverage="0" equalAverage="0" bottom="0" percent="0" rank="0" text="" dxfId="0">
      <formula>10.5</formula>
    </cfRule>
    <cfRule type="cellIs" priority="3" operator="greaterThan" aboveAverage="0" equalAverage="0" bottom="0" percent="0" rank="0" text="" dxfId="1">
      <formula>10</formula>
    </cfRule>
  </conditionalFormatting>
  <conditionalFormatting sqref="AX180:AX181">
    <cfRule type="cellIs" priority="4" operator="lessThan" aboveAverage="0" equalAverage="0" bottom="0" percent="0" rank="0" text="" dxfId="2">
      <formula>10.5</formula>
    </cfRule>
    <cfRule type="cellIs" priority="5" operator="greaterThan" aboveAverage="0" equalAverage="0" bottom="0" percent="0" rank="0" text="" dxfId="3">
      <formula>10</formula>
    </cfRule>
  </conditionalFormatting>
  <conditionalFormatting sqref="BU124:BU125">
    <cfRule type="cellIs" priority="6" operator="lessThan" aboveAverage="0" equalAverage="0" bottom="0" percent="0" rank="0" text="" dxfId="4">
      <formula>10.5</formula>
    </cfRule>
    <cfRule type="cellIs" priority="7" operator="greaterThan" aboveAverage="0" equalAverage="0" bottom="0" percent="0" rank="0" text="" dxfId="5">
      <formula>10</formula>
    </cfRule>
  </conditionalFormatting>
  <conditionalFormatting sqref="CR180:CR181">
    <cfRule type="cellIs" priority="8" operator="lessThan" aboveAverage="0" equalAverage="0" bottom="0" percent="0" rank="0" text="" dxfId="6">
      <formula>10.5</formula>
    </cfRule>
    <cfRule type="cellIs" priority="9" operator="greaterThan" aboveAverage="0" equalAverage="0" bottom="0" percent="0" rank="0" text="" dxfId="7">
      <formula>10</formula>
    </cfRule>
  </conditionalFormatting>
  <conditionalFormatting sqref="D180:D181">
    <cfRule type="cellIs" priority="10" operator="lessThan" aboveAverage="0" equalAverage="0" bottom="0" percent="0" rank="0" text="" dxfId="8">
      <formula>10.5</formula>
    </cfRule>
    <cfRule type="cellIs" priority="11" operator="greaterThan" aboveAverage="0" equalAverage="0" bottom="0" percent="0" rank="0" text="" dxfId="9">
      <formula>10</formula>
    </cfRule>
  </conditionalFormatting>
  <conditionalFormatting sqref="AX155:AX156">
    <cfRule type="cellIs" priority="12" operator="lessThan" aboveAverage="0" equalAverage="0" bottom="0" percent="0" rank="0" text="" dxfId="10">
      <formula>10.5</formula>
    </cfRule>
    <cfRule type="cellIs" priority="13" operator="greaterThan" aboveAverage="0" equalAverage="0" bottom="0" percent="0" rank="0" text="" dxfId="11">
      <formula>10</formula>
    </cfRule>
  </conditionalFormatting>
  <conditionalFormatting sqref="D155:D156">
    <cfRule type="cellIs" priority="14" operator="lessThan" aboveAverage="0" equalAverage="0" bottom="0" percent="0" rank="0" text="" dxfId="12">
      <formula>10.5</formula>
    </cfRule>
    <cfRule type="cellIs" priority="15" operator="greaterThan" aboveAverage="0" equalAverage="0" bottom="0" percent="0" rank="0" text="" dxfId="13">
      <formula>10</formula>
    </cfRule>
  </conditionalFormatting>
  <conditionalFormatting sqref="BU155:BU156">
    <cfRule type="cellIs" priority="16" operator="lessThan" aboveAverage="0" equalAverage="0" bottom="0" percent="0" rank="0" text="" dxfId="14">
      <formula>10.5</formula>
    </cfRule>
    <cfRule type="cellIs" priority="17" operator="greaterThan" aboveAverage="0" equalAverage="0" bottom="0" percent="0" rank="0" text="" dxfId="15">
      <formula>10</formula>
    </cfRule>
  </conditionalFormatting>
  <conditionalFormatting sqref="CR155:CR156">
    <cfRule type="cellIs" priority="18" operator="lessThan" aboveAverage="0" equalAverage="0" bottom="0" percent="0" rank="0" text="" dxfId="16">
      <formula>10.5</formula>
    </cfRule>
    <cfRule type="cellIs" priority="19" operator="greaterThan" aboveAverage="0" equalAverage="0" bottom="0" percent="0" rank="0" text="" dxfId="17">
      <formula>10</formula>
    </cfRule>
  </conditionalFormatting>
  <conditionalFormatting sqref="AX124:AX125">
    <cfRule type="cellIs" priority="20" operator="lessThan" aboveAverage="0" equalAverage="0" bottom="0" percent="0" rank="0" text="" dxfId="18">
      <formula>10.5</formula>
    </cfRule>
    <cfRule type="cellIs" priority="21" operator="greaterThan" aboveAverage="0" equalAverage="0" bottom="0" percent="0" rank="0" text="" dxfId="19">
      <formula>10</formula>
    </cfRule>
  </conditionalFormatting>
  <conditionalFormatting sqref="D39:D40">
    <cfRule type="cellIs" priority="22" operator="lessThan" aboveAverage="0" equalAverage="0" bottom="0" percent="0" rank="0" text="" dxfId="20">
      <formula>10.5</formula>
    </cfRule>
    <cfRule type="cellIs" priority="23" operator="greaterThan" aboveAverage="0" equalAverage="0" bottom="0" percent="0" rank="0" text="" dxfId="21">
      <formula>10</formula>
    </cfRule>
  </conditionalFormatting>
  <conditionalFormatting sqref="D124:D125">
    <cfRule type="cellIs" priority="24" operator="lessThan" aboveAverage="0" equalAverage="0" bottom="0" percent="0" rank="0" text="" dxfId="22">
      <formula>10.5</formula>
    </cfRule>
    <cfRule type="cellIs" priority="25" operator="greaterThan" aboveAverage="0" equalAverage="0" bottom="0" percent="0" rank="0" text="" dxfId="23">
      <formula>10</formula>
    </cfRule>
  </conditionalFormatting>
  <conditionalFormatting sqref="CR124:CR125">
    <cfRule type="cellIs" priority="26" operator="lessThan" aboveAverage="0" equalAverage="0" bottom="0" percent="0" rank="0" text="" dxfId="24">
      <formula>10.5</formula>
    </cfRule>
    <cfRule type="cellIs" priority="27" operator="greaterThan" aboveAverage="0" equalAverage="0" bottom="0" percent="0" rank="0" text="" dxfId="25">
      <formula>10</formula>
    </cfRule>
  </conditionalFormatting>
  <conditionalFormatting sqref="CR90:CR91">
    <cfRule type="cellIs" priority="28" operator="lessThan" aboveAverage="0" equalAverage="0" bottom="0" percent="0" rank="0" text="" dxfId="26">
      <formula>10.5</formula>
    </cfRule>
    <cfRule type="cellIs" priority="29" operator="greaterThan" aboveAverage="0" equalAverage="0" bottom="0" percent="0" rank="0" text="" dxfId="27">
      <formula>10</formula>
    </cfRule>
  </conditionalFormatting>
  <conditionalFormatting sqref="BU90:BU91">
    <cfRule type="cellIs" priority="30" operator="lessThan" aboveAverage="0" equalAverage="0" bottom="0" percent="0" rank="0" text="" dxfId="28">
      <formula>10.5</formula>
    </cfRule>
    <cfRule type="cellIs" priority="31" operator="greaterThan" aboveAverage="0" equalAverage="0" bottom="0" percent="0" rank="0" text="" dxfId="29">
      <formula>10</formula>
    </cfRule>
  </conditionalFormatting>
  <conditionalFormatting sqref="AX90:AX91">
    <cfRule type="cellIs" priority="32" operator="lessThan" aboveAverage="0" equalAverage="0" bottom="0" percent="0" rank="0" text="" dxfId="30">
      <formula>10.5</formula>
    </cfRule>
    <cfRule type="cellIs" priority="33" operator="greaterThan" aboveAverage="0" equalAverage="0" bottom="0" percent="0" rank="0" text="" dxfId="31">
      <formula>10</formula>
    </cfRule>
  </conditionalFormatting>
  <conditionalFormatting sqref="D90:D91">
    <cfRule type="cellIs" priority="34" operator="lessThan" aboveAverage="0" equalAverage="0" bottom="0" percent="0" rank="0" text="" dxfId="32">
      <formula>10.5</formula>
    </cfRule>
    <cfRule type="cellIs" priority="35" operator="greaterThan" aboveAverage="0" equalAverage="0" bottom="0" percent="0" rank="0" text="" dxfId="33">
      <formula>10</formula>
    </cfRule>
  </conditionalFormatting>
  <conditionalFormatting sqref="CR66:CR67">
    <cfRule type="cellIs" priority="36" operator="lessThan" aboveAverage="0" equalAverage="0" bottom="0" percent="0" rank="0" text="" dxfId="34">
      <formula>10.5</formula>
    </cfRule>
    <cfRule type="cellIs" priority="37" operator="greaterThan" aboveAverage="0" equalAverage="0" bottom="0" percent="0" rank="0" text="" dxfId="35">
      <formula>10</formula>
    </cfRule>
  </conditionalFormatting>
  <conditionalFormatting sqref="BU66:BU67">
    <cfRule type="cellIs" priority="38" operator="lessThan" aboveAverage="0" equalAverage="0" bottom="0" percent="0" rank="0" text="" dxfId="36">
      <formula>10.5</formula>
    </cfRule>
    <cfRule type="cellIs" priority="39" operator="greaterThan" aboveAverage="0" equalAverage="0" bottom="0" percent="0" rank="0" text="" dxfId="37">
      <formula>10</formula>
    </cfRule>
  </conditionalFormatting>
  <conditionalFormatting sqref="AX66:AX67">
    <cfRule type="cellIs" priority="40" operator="lessThan" aboveAverage="0" equalAverage="0" bottom="0" percent="0" rank="0" text="" dxfId="38">
      <formula>10.5</formula>
    </cfRule>
    <cfRule type="cellIs" priority="41" operator="greaterThan" aboveAverage="0" equalAverage="0" bottom="0" percent="0" rank="0" text="" dxfId="39">
      <formula>10</formula>
    </cfRule>
  </conditionalFormatting>
  <conditionalFormatting sqref="D66:D67">
    <cfRule type="cellIs" priority="42" operator="lessThan" aboveAverage="0" equalAverage="0" bottom="0" percent="0" rank="0" text="" dxfId="40">
      <formula>10.5</formula>
    </cfRule>
    <cfRule type="cellIs" priority="43" operator="greaterThan" aboveAverage="0" equalAverage="0" bottom="0" percent="0" rank="0" text="" dxfId="41">
      <formula>10</formula>
    </cfRule>
  </conditionalFormatting>
  <conditionalFormatting sqref="CR39:CR40">
    <cfRule type="cellIs" priority="44" operator="lessThan" aboveAverage="0" equalAverage="0" bottom="0" percent="0" rank="0" text="" dxfId="42">
      <formula>10.5</formula>
    </cfRule>
    <cfRule type="cellIs" priority="45" operator="greaterThan" aboveAverage="0" equalAverage="0" bottom="0" percent="0" rank="0" text="" dxfId="43">
      <formula>10</formula>
    </cfRule>
  </conditionalFormatting>
  <conditionalFormatting sqref="BU39:BU40">
    <cfRule type="cellIs" priority="46" operator="lessThan" aboveAverage="0" equalAverage="0" bottom="0" percent="0" rank="0" text="" dxfId="44">
      <formula>10.5</formula>
    </cfRule>
    <cfRule type="cellIs" priority="47" operator="greaterThan" aboveAverage="0" equalAverage="0" bottom="0" percent="0" rank="0" text="" dxfId="45">
      <formula>10</formula>
    </cfRule>
  </conditionalFormatting>
  <conditionalFormatting sqref="AX39:AX40">
    <cfRule type="cellIs" priority="48" operator="lessThan" aboveAverage="0" equalAverage="0" bottom="0" percent="0" rank="0" text="" dxfId="46">
      <formula>10.5</formula>
    </cfRule>
    <cfRule type="cellIs" priority="49" operator="greaterThan" aboveAverage="0" equalAverage="0" bottom="0" percent="0" rank="0" text="" dxfId="47">
      <formula>10</formula>
    </cfRule>
  </conditionalFormatting>
  <conditionalFormatting sqref="CR6:CR7">
    <cfRule type="cellIs" priority="50" operator="lessThan" aboveAverage="0" equalAverage="0" bottom="0" percent="0" rank="0" text="" dxfId="48">
      <formula>10.5</formula>
    </cfRule>
    <cfRule type="cellIs" priority="51" operator="greaterThan" aboveAverage="0" equalAverage="0" bottom="0" percent="0" rank="0" text="" dxfId="49">
      <formula>10</formula>
    </cfRule>
  </conditionalFormatting>
  <conditionalFormatting sqref="BU6:BU7">
    <cfRule type="cellIs" priority="52" operator="lessThan" aboveAverage="0" equalAverage="0" bottom="0" percent="0" rank="0" text="" dxfId="50">
      <formula>10.5</formula>
    </cfRule>
    <cfRule type="cellIs" priority="53" operator="greaterThan" aboveAverage="0" equalAverage="0" bottom="0" percent="0" rank="0" text="" dxfId="51">
      <formula>10</formula>
    </cfRule>
  </conditionalFormatting>
  <conditionalFormatting sqref="AX6:AX7">
    <cfRule type="cellIs" priority="54" operator="lessThan" aboveAverage="0" equalAverage="0" bottom="0" percent="0" rank="0" text="" dxfId="52">
      <formula>10.5</formula>
    </cfRule>
    <cfRule type="cellIs" priority="55" operator="greaterThan" aboveAverage="0" equalAverage="0" bottom="0" percent="0" rank="0" text="" dxfId="53">
      <formula>10</formula>
    </cfRule>
  </conditionalFormatting>
  <conditionalFormatting sqref="AA6:AA7">
    <cfRule type="cellIs" priority="56" operator="lessThan" aboveAverage="0" equalAverage="0" bottom="0" percent="0" rank="0" text="" dxfId="54">
      <formula>10.5</formula>
    </cfRule>
    <cfRule type="cellIs" priority="57" operator="greaterThan" aboveAverage="0" equalAverage="0" bottom="0" percent="0" rank="0" text="" dxfId="55">
      <formula>10</formula>
    </cfRule>
  </conditionalFormatting>
  <conditionalFormatting sqref="D6:D7">
    <cfRule type="cellIs" priority="58" operator="lessThan" aboveAverage="0" equalAverage="0" bottom="0" percent="0" rank="0" text="" dxfId="56">
      <formula>10.5</formula>
    </cfRule>
    <cfRule type="cellIs" priority="59" operator="greaterThan" aboveAverage="0" equalAverage="0" bottom="0" percent="0" rank="0" text="" dxfId="57">
      <formula>10</formula>
    </cfRule>
  </conditionalFormatting>
  <hyperlinks>
    <hyperlink ref="E2" location="co_4_lundi_b1" display="#co_4_lundi_b1"/>
    <hyperlink ref="C3" location="co_2_lundi_b1" display="#co_2_lundi_b1"/>
    <hyperlink ref="F3" location="co_5_lundi_B1" display="#co_5_lundi_B1"/>
    <hyperlink ref="C4" location="co_3_lundi_B1" display="#co_3_lundi_B1"/>
    <hyperlink ref="E4" location="co_6_lundç_B1" display="#co_6_lundç_B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Button 1">
              <controlPr defaultSize="0" print="true" autoFill="0" autoPict="0">
                <anchor moveWithCells="true" sizeWithCells="false">
                  <from>
                    <xdr:col>1</xdr:col>
                    <xdr:colOff>30600</xdr:colOff>
                    <xdr:row>4</xdr:row>
                    <xdr:rowOff>536760</xdr:rowOff>
                  </from>
                  <to>
                    <xdr:col>2</xdr:col>
                    <xdr:colOff>-2598480</xdr:colOff>
                    <xdr:row>5</xdr:row>
                    <xdr:rowOff>-313560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Button 2">
              <controlPr defaultSize="0" print="true" autoFill="0" autoPict="0">
                <anchor moveWithCells="true" sizeWithCells="false">
                  <from>
                    <xdr:col>23</xdr:col>
                    <xdr:colOff>83880</xdr:colOff>
                    <xdr:row>4</xdr:row>
                    <xdr:rowOff>529200</xdr:rowOff>
                  </from>
                  <to>
                    <xdr:col>24</xdr:col>
                    <xdr:colOff>53280</xdr:colOff>
                    <xdr:row>5</xdr:row>
                    <xdr:rowOff>-313560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Button 3">
              <controlPr defaultSize="0" print="true" autoFill="0" autoPict="0">
                <anchor moveWithCells="true" sizeWithCells="false">
                  <from>
                    <xdr:col>24</xdr:col>
                    <xdr:colOff>1425240</xdr:colOff>
                    <xdr:row>4</xdr:row>
                    <xdr:rowOff>636120</xdr:rowOff>
                  </from>
                  <to>
                    <xdr:col>25</xdr:col>
                    <xdr:colOff>-1325880</xdr:colOff>
                    <xdr:row>5</xdr:row>
                    <xdr:rowOff>-275040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Button 4">
              <controlPr defaultSize="0" print="true" autoFill="0" autoPict="0">
                <anchor moveWithCells="true" sizeWithCells="false">
                  <from>
                    <xdr:col>26</xdr:col>
                    <xdr:colOff>106560</xdr:colOff>
                    <xdr:row>4</xdr:row>
                    <xdr:rowOff>643680</xdr:rowOff>
                  </from>
                  <to>
                    <xdr:col>27</xdr:col>
                    <xdr:colOff>304560</xdr:colOff>
                    <xdr:row>5</xdr:row>
                    <xdr:rowOff>-214200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Button 5">
              <controlPr defaultSize="0" print="true" autoFill="0" autoPict="0">
                <anchor moveWithCells="true" sizeWithCells="false">
                  <from>
                    <xdr:col>30</xdr:col>
                    <xdr:colOff>502920</xdr:colOff>
                    <xdr:row>4</xdr:row>
                    <xdr:rowOff>727560</xdr:rowOff>
                  </from>
                  <to>
                    <xdr:col>31</xdr:col>
                    <xdr:colOff>-670680</xdr:colOff>
                    <xdr:row>5</xdr:row>
                    <xdr:rowOff>-183600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Button 6">
              <controlPr defaultSize="0" print="true" autoFill="0" autoPict="0">
                <anchor moveWithCells="true" sizeWithCells="false">
                  <from>
                    <xdr:col>49</xdr:col>
                    <xdr:colOff>411480</xdr:colOff>
                    <xdr:row>4</xdr:row>
                    <xdr:rowOff>636120</xdr:rowOff>
                  </from>
                  <to>
                    <xdr:col>51</xdr:col>
                    <xdr:colOff>289440</xdr:colOff>
                    <xdr:row>5</xdr:row>
                    <xdr:rowOff>-275040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Button 7">
              <controlPr defaultSize="0" print="true" autoFill="0" autoPict="0">
                <anchor moveWithCells="true" sizeWithCells="false">
                  <from>
                    <xdr:col>47</xdr:col>
                    <xdr:colOff>2004120</xdr:colOff>
                    <xdr:row>4</xdr:row>
                    <xdr:rowOff>643680</xdr:rowOff>
                  </from>
                  <to>
                    <xdr:col>48</xdr:col>
                    <xdr:colOff>-899280</xdr:colOff>
                    <xdr:row>5</xdr:row>
                    <xdr:rowOff>-214200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Button 8">
              <controlPr defaultSize="0" print="true" autoFill="0" autoPict="0">
                <anchor moveWithCells="true" sizeWithCells="false">
                  <from>
                    <xdr:col>73</xdr:col>
                    <xdr:colOff>350640</xdr:colOff>
                    <xdr:row>4</xdr:row>
                    <xdr:rowOff>735120</xdr:rowOff>
                  </from>
                  <to>
                    <xdr:col>75</xdr:col>
                    <xdr:colOff>106920</xdr:colOff>
                    <xdr:row>5</xdr:row>
                    <xdr:rowOff>-176040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Button 9">
              <controlPr defaultSize="0" print="true" autoFill="0" autoPict="0">
                <anchor moveWithCells="true" sizeWithCells="false">
                  <from>
                    <xdr:col>70</xdr:col>
                    <xdr:colOff>2400480</xdr:colOff>
                    <xdr:row>4</xdr:row>
                    <xdr:rowOff>704520</xdr:rowOff>
                  </from>
                  <to>
                    <xdr:col>71</xdr:col>
                    <xdr:colOff>-495360</xdr:colOff>
                    <xdr:row>5</xdr:row>
                    <xdr:rowOff>-160920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Button 10">
              <controlPr defaultSize="0" print="true" autoFill="0" autoPict="0">
                <anchor moveWithCells="true" sizeWithCells="false">
                  <from>
                    <xdr:col>1</xdr:col>
                    <xdr:colOff>3314880</xdr:colOff>
                    <xdr:row>119</xdr:row>
                    <xdr:rowOff>222840</xdr:rowOff>
                  </from>
                  <to>
                    <xdr:col>3</xdr:col>
                    <xdr:colOff>281880</xdr:colOff>
                    <xdr:row>121</xdr:row>
                    <xdr:rowOff>76680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Button 11">
              <controlPr defaultSize="0" print="true" autoFill="0" autoPict="0">
                <anchor moveWithCells="true" sizeWithCells="false">
                  <from>
                    <xdr:col>1</xdr:col>
                    <xdr:colOff>2400480</xdr:colOff>
                    <xdr:row>4</xdr:row>
                    <xdr:rowOff>636120</xdr:rowOff>
                  </from>
                  <to>
                    <xdr:col>2</xdr:col>
                    <xdr:colOff>-343080</xdr:colOff>
                    <xdr:row>5</xdr:row>
                    <xdr:rowOff>-366480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Button 12">
              <controlPr defaultSize="0" print="true" autoFill="0" autoPict="0">
                <anchor moveWithCells="true" sizeWithCells="false">
                  <from>
                    <xdr:col>1</xdr:col>
                    <xdr:colOff>3314880</xdr:colOff>
                    <xdr:row>149</xdr:row>
                    <xdr:rowOff>239400</xdr:rowOff>
                  </from>
                  <to>
                    <xdr:col>3</xdr:col>
                    <xdr:colOff>281880</xdr:colOff>
                    <xdr:row>151</xdr:row>
                    <xdr:rowOff>117360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Button 13">
              <controlPr defaultSize="0" print="true" autoFill="0" autoPict="0">
                <anchor moveWithCells="true" sizeWithCells="false">
                  <from>
                    <xdr:col>1</xdr:col>
                    <xdr:colOff>3314880</xdr:colOff>
                    <xdr:row>173</xdr:row>
                    <xdr:rowOff>966960</xdr:rowOff>
                  </from>
                  <to>
                    <xdr:col>3</xdr:col>
                    <xdr:colOff>281880</xdr:colOff>
                    <xdr:row>174</xdr:row>
                    <xdr:rowOff>-259920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Button 14">
              <controlPr defaultSize="0" print="true" autoFill="0" autoPict="0">
                <anchor moveWithCells="true" sizeWithCells="false">
                  <from>
                    <xdr:col>75</xdr:col>
                    <xdr:colOff>198000</xdr:colOff>
                    <xdr:row>173</xdr:row>
                    <xdr:rowOff>966960</xdr:rowOff>
                  </from>
                  <to>
                    <xdr:col>76</xdr:col>
                    <xdr:colOff>685800</xdr:colOff>
                    <xdr:row>174</xdr:row>
                    <xdr:rowOff>-259920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Button 15">
              <controlPr defaultSize="0" print="true" autoFill="0" autoPict="0">
                <anchor moveWithCells="true" sizeWithCells="false">
                  <from>
                    <xdr:col>24</xdr:col>
                    <xdr:colOff>2339640</xdr:colOff>
                    <xdr:row>173</xdr:row>
                    <xdr:rowOff>966960</xdr:rowOff>
                  </from>
                  <to>
                    <xdr:col>25</xdr:col>
                    <xdr:colOff>-434160</xdr:colOff>
                    <xdr:row>174</xdr:row>
                    <xdr:rowOff>-259920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Button 16">
              <controlPr defaultSize="0" print="true" autoFill="0" autoPict="0">
                <anchor moveWithCells="true" sizeWithCells="false">
                  <from>
                    <xdr:col>30</xdr:col>
                    <xdr:colOff>1440360</xdr:colOff>
                    <xdr:row>173</xdr:row>
                    <xdr:rowOff>966960</xdr:rowOff>
                  </from>
                  <to>
                    <xdr:col>32</xdr:col>
                    <xdr:colOff>23040</xdr:colOff>
                    <xdr:row>174</xdr:row>
                    <xdr:rowOff>-259920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19" name="Button 17">
              <controlPr defaultSize="0" print="true" autoFill="0" autoPict="0">
                <anchor moveWithCells="true" sizeWithCells="false">
                  <from>
                    <xdr:col>51</xdr:col>
                    <xdr:colOff>380880</xdr:colOff>
                    <xdr:row>173</xdr:row>
                    <xdr:rowOff>966960</xdr:rowOff>
                  </from>
                  <to>
                    <xdr:col>52</xdr:col>
                    <xdr:colOff>578880</xdr:colOff>
                    <xdr:row>174</xdr:row>
                    <xdr:rowOff>-259920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2026-07-15T20:40:29Z</dcterms:created>
  <dc:creator/>
  <dc:description/>
  <dc:language>fr-FR</dc:language>
  <cp:lastModifiedBy/>
  <dcterms:modified xsi:type="dcterms:W3CDTF">2026-07-15T20:48:57Z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